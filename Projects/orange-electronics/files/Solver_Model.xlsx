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lle\Downloads\"/>
    </mc:Choice>
  </mc:AlternateContent>
  <xr:revisionPtr revIDLastSave="0" documentId="13_ncr:1_{8E15BE4A-4DCB-470D-B6E2-9BF976DF9B39}" xr6:coauthVersionLast="47" xr6:coauthVersionMax="47" xr10:uidLastSave="{00000000-0000-0000-0000-000000000000}"/>
  <bookViews>
    <workbookView xWindow="3330" yWindow="3885" windowWidth="16740" windowHeight="15555" firstSheet="9" activeTab="12" xr2:uid="{00000000-000D-0000-FFFF-FFFF00000000}"/>
  </bookViews>
  <sheets>
    <sheet name="Solver_ReadMe" sheetId="1" r:id="rId1"/>
    <sheet name="Parameters" sheetId="2" r:id="rId2"/>
    <sheet name="Demand" sheetId="3" r:id="rId3"/>
    <sheet name="Production_Costs" sheetId="4" r:id="rId4"/>
    <sheet name="Decisions" sheetId="5" r:id="rId5"/>
    <sheet name="Derived" sheetId="6" r:id="rId6"/>
    <sheet name="Constraints" sheetId="7" r:id="rId7"/>
    <sheet name="Objective" sheetId="8" r:id="rId8"/>
    <sheet name="Decisions_struct" sheetId="9" r:id="rId9"/>
    <sheet name="NamedRanges" sheetId="10" r:id="rId10"/>
    <sheet name="Constraints_flat" sheetId="11" r:id="rId11"/>
    <sheet name="MODEL_Run" sheetId="12" r:id="rId12"/>
    <sheet name="MODEL_Constraints" sheetId="13" r:id="rId13"/>
    <sheet name="README_OpenSolver" sheetId="14" r:id="rId14"/>
  </sheets>
  <definedNames>
    <definedName name="All_Vars">MODEL_Run!$F$5:$F$10,MODEL_Run!$F$13:$F$66,MODEL_Run!$F$69:$F$122,MODEL_Run!$F$125:$F$259,MODEL_Run!$F$262:$F$279,MODEL_Run!$F$282:$F$284</definedName>
    <definedName name="Cameras_LHS">Constraints_flat!$G$44</definedName>
    <definedName name="Cameras_RHS">Constraints_flat!$H$44</definedName>
    <definedName name="Capacity_LHS">Constraints_flat!$I$38:$I$43</definedName>
    <definedName name="Capacity_RHS">Constraints_flat!$J$38:$J$43</definedName>
    <definedName name="Demand_LHS">Constraints_flat!$I$21:$I$36</definedName>
    <definedName name="Demand_RHS">Constraints_flat!$J$21:$J$36</definedName>
    <definedName name="E_range">MODEL_Run!$F$5:$F$10</definedName>
    <definedName name="Flow_LHS">Constraints_flat!$I$2:$I$19</definedName>
    <definedName name="Flow_RHS">Constraints_flat!$J$2:$J$19</definedName>
    <definedName name="OpenSolver_ChosenSolver" localSheetId="8" hidden="1">CBC</definedName>
    <definedName name="OpenSolver_ChosenSolver" localSheetId="11" hidden="1">CBC</definedName>
    <definedName name="OpenSolver_DualsNewSheet" localSheetId="8" hidden="1">0</definedName>
    <definedName name="OpenSolver_DualsNewSheet" localSheetId="11" hidden="1">0</definedName>
    <definedName name="OpenSolver_LinearityCheck" localSheetId="8" hidden="1">1</definedName>
    <definedName name="OpenSolver_LinearityCheck" localSheetId="11" hidden="1">1</definedName>
    <definedName name="OpenSolver_UpdateSensitivity" localSheetId="8" hidden="1">1</definedName>
    <definedName name="OpenSolver_UpdateSensitivity" localSheetId="11" hidden="1">1</definedName>
    <definedName name="S_range">MODEL_Run!$F$125:$F$259</definedName>
    <definedName name="solver_adj" localSheetId="8" hidden="1">X_range,Decisions_struct!$G$197:$G$250,Decisions_struct!$G$8:$G$142,Decisions_struct!$G$2:$G$7,Decisions_struct!$G$251:$G$268,Decisions_struct!$G$269:$G$271</definedName>
    <definedName name="solver_adj" localSheetId="11" hidden="1">MODEL_Run!$F$5:$F$10,MODEL_Run!$F$13:$F$66,MODEL_Run!$F$69:$F$122,MODEL_Run!$F$125:$F$259,MODEL_Run!$F$262:$F$279,MODEL_Run!$F$282:$F$284</definedName>
    <definedName name="solver_adj" localSheetId="7" hidden="1">Decisions_struct!$G$2:$G$55,Decisions_struct!$G$56:$G$109,Decisions_struct!$G$128:$G$397,Decisions_struct!$G$110:$G$127,Decisions_struct!$G$398:$G$400</definedName>
    <definedName name="solver_cvg" localSheetId="8" hidden="1">0.0001</definedName>
    <definedName name="solver_cvg" localSheetId="11" hidden="1">0.0001</definedName>
    <definedName name="solver_cvg" localSheetId="7" hidden="1">0.0001</definedName>
    <definedName name="solver_drv" localSheetId="8" hidden="1">2</definedName>
    <definedName name="solver_drv" localSheetId="11" hidden="1">1</definedName>
    <definedName name="solver_drv" localSheetId="7" hidden="1">2</definedName>
    <definedName name="solver_eng" localSheetId="6" hidden="1">2</definedName>
    <definedName name="solver_eng" localSheetId="8" hidden="1">2</definedName>
    <definedName name="solver_eng" localSheetId="7" hidden="1">2</definedName>
    <definedName name="solver_eng" localSheetId="1" hidden="1">1</definedName>
    <definedName name="solver_eng" localSheetId="3" hidden="1">1</definedName>
    <definedName name="solver_est" localSheetId="8" hidden="1">1</definedName>
    <definedName name="solver_est" localSheetId="11" hidden="1">1</definedName>
    <definedName name="solver_est" localSheetId="7" hidden="1">1</definedName>
    <definedName name="solver_itr" localSheetId="8" hidden="1">2147483647</definedName>
    <definedName name="solver_itr" localSheetId="11" hidden="1">2147483647</definedName>
    <definedName name="solver_itr" localSheetId="7" hidden="1">2147483647</definedName>
    <definedName name="solver_lhs1" localSheetId="8" hidden="1">Decisions_struct!$I$21:$I$36</definedName>
    <definedName name="solver_lhs1" localSheetId="11" hidden="1">MODEL_Run!$F$13:$F$66</definedName>
    <definedName name="solver_lhs2" localSheetId="8" hidden="1">Decisions_struct!$I$2:$I$19</definedName>
    <definedName name="solver_lhs2" localSheetId="11" hidden="1">MODEL_Run!$F$69:$F$122</definedName>
    <definedName name="solver_lhs3" localSheetId="8" hidden="1">Decisions_struct!$I$38:$I$43</definedName>
    <definedName name="solver_lhs3" localSheetId="11" hidden="1">MODEL_Run!$F$125:$F$259</definedName>
    <definedName name="solver_lhs4" localSheetId="8" hidden="1">X_range</definedName>
    <definedName name="solver_lhs4" localSheetId="11" hidden="1">MODEL_Run!$F$262:$F$279</definedName>
    <definedName name="solver_lhs5" localSheetId="8" hidden="1">XOT_range</definedName>
    <definedName name="solver_lhs5" localSheetId="11" hidden="1">MODEL_Run!$F$282:$F$284</definedName>
    <definedName name="solver_lhs6" localSheetId="8" hidden="1">S_range</definedName>
    <definedName name="solver_lhs6" localSheetId="11" hidden="1">Flow_LHS</definedName>
    <definedName name="solver_lhs7" localSheetId="8" hidden="1">Y_range</definedName>
    <definedName name="solver_lhs7" localSheetId="11" hidden="1">Demand_LHS</definedName>
    <definedName name="solver_lhs8" localSheetId="8" hidden="1">YPT_range</definedName>
    <definedName name="solver_lhs8" localSheetId="11" hidden="1">Capacity_LHS</definedName>
    <definedName name="solver_lhs9" localSheetId="8" hidden="1">Cameras_LHS</definedName>
    <definedName name="solver_lhs9" localSheetId="11" hidden="1">Cameras_LHS</definedName>
    <definedName name="solver_mip" localSheetId="8" hidden="1">2147483647</definedName>
    <definedName name="solver_mip" localSheetId="7" hidden="1">2147483647</definedName>
    <definedName name="solver_mni" localSheetId="8" hidden="1">30</definedName>
    <definedName name="solver_mni" localSheetId="7" hidden="1">30</definedName>
    <definedName name="solver_mrt" localSheetId="8" hidden="1">0.075</definedName>
    <definedName name="solver_mrt" localSheetId="7" hidden="1">0.075</definedName>
    <definedName name="solver_msl" localSheetId="8" hidden="1">2</definedName>
    <definedName name="solver_msl" localSheetId="7" hidden="1">2</definedName>
    <definedName name="solver_neg" localSheetId="6" hidden="1">1</definedName>
    <definedName name="solver_neg" localSheetId="8" hidden="1">1</definedName>
    <definedName name="solver_neg" localSheetId="11" hidden="1">1</definedName>
    <definedName name="solver_neg" localSheetId="7" hidden="1">1</definedName>
    <definedName name="solver_neg" localSheetId="1" hidden="1">1</definedName>
    <definedName name="solver_neg" localSheetId="3" hidden="1">1</definedName>
    <definedName name="solver_nod" localSheetId="8" hidden="1">2147483647</definedName>
    <definedName name="solver_nod" localSheetId="7" hidden="1">2147483647</definedName>
    <definedName name="solver_num" localSheetId="6" hidden="1">0</definedName>
    <definedName name="solver_num" localSheetId="8" hidden="1">9</definedName>
    <definedName name="solver_num" localSheetId="11" hidden="1">9</definedName>
    <definedName name="solver_num" localSheetId="7" hidden="1">0</definedName>
    <definedName name="solver_num" localSheetId="1" hidden="1">0</definedName>
    <definedName name="solver_num" localSheetId="3" hidden="1">0</definedName>
    <definedName name="solver_nwt" localSheetId="8" hidden="1">1</definedName>
    <definedName name="solver_nwt" localSheetId="11" hidden="1">1</definedName>
    <definedName name="solver_nwt" localSheetId="7" hidden="1">1</definedName>
    <definedName name="solver_opt" localSheetId="6" hidden="1">Objective!$E$3</definedName>
    <definedName name="solver_opt" localSheetId="8" hidden="1">Decisions_struct!$B$1</definedName>
    <definedName name="solver_opt" localSheetId="11" hidden="1">MODEL_Run!$B$2</definedName>
    <definedName name="solver_opt" localSheetId="7" hidden="1">Decisions_struct!$L$348</definedName>
    <definedName name="solver_opt" localSheetId="1" hidden="1">Demand!$C$22</definedName>
    <definedName name="solver_opt" localSheetId="3" hidden="1">Decisions!$A$1</definedName>
    <definedName name="solver_pre" localSheetId="8" hidden="1">0.000001</definedName>
    <definedName name="solver_pre" localSheetId="11" hidden="1">0.000001</definedName>
    <definedName name="solver_pre" localSheetId="7" hidden="1">0.000001</definedName>
    <definedName name="solver_rbv" localSheetId="8" hidden="1">2</definedName>
    <definedName name="solver_rbv" localSheetId="7" hidden="1">2</definedName>
    <definedName name="solver_rel1" localSheetId="8" hidden="1">2</definedName>
    <definedName name="solver_rel1" localSheetId="11" hidden="1">4</definedName>
    <definedName name="solver_rel2" localSheetId="8" hidden="1">1</definedName>
    <definedName name="solver_rel2" localSheetId="11" hidden="1">4</definedName>
    <definedName name="solver_rel3" localSheetId="8" hidden="1">1</definedName>
    <definedName name="solver_rel3" localSheetId="11" hidden="1">4</definedName>
    <definedName name="solver_rel4" localSheetId="8" hidden="1">4</definedName>
    <definedName name="solver_rel4" localSheetId="11" hidden="1">5</definedName>
    <definedName name="solver_rel5" localSheetId="8" hidden="1">4</definedName>
    <definedName name="solver_rel5" localSheetId="11" hidden="1">5</definedName>
    <definedName name="solver_rel6" localSheetId="8" hidden="1">4</definedName>
    <definedName name="solver_rel6" localSheetId="11" hidden="1">1</definedName>
    <definedName name="solver_rel7" localSheetId="8" hidden="1">5</definedName>
    <definedName name="solver_rel7" localSheetId="11" hidden="1">2</definedName>
    <definedName name="solver_rel8" localSheetId="8" hidden="1">5</definedName>
    <definedName name="solver_rel8" localSheetId="11" hidden="1">1</definedName>
    <definedName name="solver_rel9" localSheetId="8" hidden="1">1</definedName>
    <definedName name="solver_rel9" localSheetId="11" hidden="1">1</definedName>
    <definedName name="solver_rhs1" localSheetId="8" hidden="1">Decisions_struct!$J$21:$J$36</definedName>
    <definedName name="solver_rhs1" localSheetId="11" hidden="1">integer</definedName>
    <definedName name="solver_rhs2" localSheetId="8" hidden="1">Decisions_struct!$J$2:$J$19</definedName>
    <definedName name="solver_rhs2" localSheetId="11" hidden="1">integer</definedName>
    <definedName name="solver_rhs3" localSheetId="8" hidden="1">Decisions_struct!$J$38:$J$43</definedName>
    <definedName name="solver_rhs3" localSheetId="11" hidden="1">integer</definedName>
    <definedName name="solver_rhs4" localSheetId="8" hidden="1">integer</definedName>
    <definedName name="solver_rhs4" localSheetId="11" hidden="1">binary</definedName>
    <definedName name="solver_rhs5" localSheetId="8" hidden="1">integer</definedName>
    <definedName name="solver_rhs5" localSheetId="11" hidden="1">binary</definedName>
    <definedName name="solver_rhs6" localSheetId="8" hidden="1">integer</definedName>
    <definedName name="solver_rhs6" localSheetId="11" hidden="1">Flow_RHS</definedName>
    <definedName name="solver_rhs7" localSheetId="8" hidden="1">binary</definedName>
    <definedName name="solver_rhs7" localSheetId="11" hidden="1">Demand_RHS</definedName>
    <definedName name="solver_rhs8" localSheetId="8" hidden="1">binary</definedName>
    <definedName name="solver_rhs8" localSheetId="11" hidden="1">Capacity_RHS</definedName>
    <definedName name="solver_rhs9" localSheetId="8" hidden="1">Cameras_RHS</definedName>
    <definedName name="solver_rhs9" localSheetId="11" hidden="1">Cameras_RHS</definedName>
    <definedName name="solver_rlx" localSheetId="8" hidden="1">2</definedName>
    <definedName name="solver_rlx" localSheetId="11" hidden="1">2</definedName>
    <definedName name="solver_rlx" localSheetId="7" hidden="1">2</definedName>
    <definedName name="solver_rsd" localSheetId="8" hidden="1">0</definedName>
    <definedName name="solver_rsd" localSheetId="7" hidden="1">0</definedName>
    <definedName name="solver_scl" localSheetId="8" hidden="1">2</definedName>
    <definedName name="solver_scl" localSheetId="11" hidden="1">2</definedName>
    <definedName name="solver_scl" localSheetId="7" hidden="1">2</definedName>
    <definedName name="solver_sho" localSheetId="8" hidden="1">1</definedName>
    <definedName name="solver_sho" localSheetId="11" hidden="1">1</definedName>
    <definedName name="solver_sho" localSheetId="7" hidden="1">2</definedName>
    <definedName name="solver_ssz" localSheetId="8" hidden="1">100</definedName>
    <definedName name="solver_ssz" localSheetId="7" hidden="1">100</definedName>
    <definedName name="solver_tim" localSheetId="8" hidden="1">2147483647</definedName>
    <definedName name="solver_tim" localSheetId="11" hidden="1">2147483647</definedName>
    <definedName name="solver_tim" localSheetId="7" hidden="1">2147483647</definedName>
    <definedName name="solver_tol" localSheetId="8" hidden="1">0.01</definedName>
    <definedName name="solver_tol" localSheetId="11" hidden="1">0.05</definedName>
    <definedName name="solver_tol" localSheetId="7" hidden="1">0.01</definedName>
    <definedName name="solver_typ" localSheetId="6" hidden="1">2</definedName>
    <definedName name="solver_typ" localSheetId="8" hidden="1">2</definedName>
    <definedName name="solver_typ" localSheetId="11" hidden="1">2</definedName>
    <definedName name="solver_typ" localSheetId="7" hidden="1">2</definedName>
    <definedName name="solver_typ" localSheetId="1" hidden="1">1</definedName>
    <definedName name="solver_typ" localSheetId="3" hidden="1">1</definedName>
    <definedName name="solver_val" localSheetId="6" hidden="1">0</definedName>
    <definedName name="solver_val" localSheetId="8" hidden="1">0</definedName>
    <definedName name="solver_val" localSheetId="11" hidden="1">0</definedName>
    <definedName name="solver_val" localSheetId="7" hidden="1">0</definedName>
    <definedName name="solver_val" localSheetId="1" hidden="1">0</definedName>
    <definedName name="solver_val" localSheetId="3" hidden="1">0</definedName>
    <definedName name="solver_ver" localSheetId="6" hidden="1">3</definedName>
    <definedName name="solver_ver" localSheetId="8" hidden="1">3</definedName>
    <definedName name="solver_ver" localSheetId="7" hidden="1">3</definedName>
    <definedName name="solver_ver" localSheetId="1" hidden="1">3</definedName>
    <definedName name="solver_ver" localSheetId="3" hidden="1">3</definedName>
    <definedName name="X_range">MODEL_Run!$F$13:$F$66</definedName>
    <definedName name="X_range1">Decisions_struct!$1:$55,Decisions_struct!$272:$1048576</definedName>
    <definedName name="XOT_range">MODEL_Run!$F$69:$F$122</definedName>
    <definedName name="Y_range">MODEL_Run!$F$262:$F$279</definedName>
    <definedName name="YPT_range">MODEL_Run!$F$282:$F$284</definedName>
    <definedName name="Z_range">Objective!$E$3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3" l="1"/>
  <c r="B6" i="13"/>
  <c r="D5" i="13"/>
  <c r="B5" i="13"/>
  <c r="F2" i="12"/>
  <c r="D66" i="11"/>
  <c r="C66" i="11"/>
  <c r="E66" i="11" s="1"/>
  <c r="D65" i="11"/>
  <c r="C65" i="11"/>
  <c r="E65" i="11" s="1"/>
  <c r="D64" i="11"/>
  <c r="C64" i="11"/>
  <c r="E64" i="11" s="1"/>
  <c r="D63" i="11"/>
  <c r="C63" i="11"/>
  <c r="E63" i="11" s="1"/>
  <c r="D62" i="11"/>
  <c r="C62" i="11"/>
  <c r="E62" i="11" s="1"/>
  <c r="D61" i="11"/>
  <c r="C61" i="11"/>
  <c r="E61" i="11" s="1"/>
  <c r="D60" i="11"/>
  <c r="C60" i="11"/>
  <c r="E60" i="11" s="1"/>
  <c r="D59" i="11"/>
  <c r="C59" i="11"/>
  <c r="E59" i="11" s="1"/>
  <c r="D58" i="11"/>
  <c r="C58" i="11"/>
  <c r="E58" i="11" s="1"/>
  <c r="E67" i="11" s="1"/>
  <c r="B64" i="11" s="1"/>
  <c r="E54" i="11"/>
  <c r="D54" i="11"/>
  <c r="C54" i="11"/>
  <c r="E53" i="11"/>
  <c r="D53" i="11"/>
  <c r="C53" i="11"/>
  <c r="E52" i="11"/>
  <c r="D52" i="11"/>
  <c r="C52" i="11"/>
  <c r="E51" i="11"/>
  <c r="D51" i="11"/>
  <c r="C51" i="11"/>
  <c r="E50" i="11"/>
  <c r="D50" i="11"/>
  <c r="C50" i="11"/>
  <c r="E49" i="11"/>
  <c r="D49" i="11"/>
  <c r="C49" i="11"/>
  <c r="H44" i="11"/>
  <c r="D7" i="13" s="1"/>
  <c r="G44" i="11"/>
  <c r="B7" i="13" s="1"/>
  <c r="H42" i="11"/>
  <c r="J42" i="11" s="1"/>
  <c r="G42" i="11"/>
  <c r="I42" i="11" s="1"/>
  <c r="H41" i="11"/>
  <c r="J41" i="11" s="1"/>
  <c r="G41" i="11"/>
  <c r="I41" i="11" s="1"/>
  <c r="J40" i="11"/>
  <c r="H40" i="11"/>
  <c r="G40" i="11"/>
  <c r="I40" i="11" s="1"/>
  <c r="J39" i="11"/>
  <c r="H39" i="11"/>
  <c r="G39" i="11"/>
  <c r="I39" i="11" s="1"/>
  <c r="H38" i="11"/>
  <c r="J38" i="11" s="1"/>
  <c r="G38" i="11"/>
  <c r="I38" i="11" s="1"/>
  <c r="J37" i="11"/>
  <c r="H37" i="11"/>
  <c r="G37" i="11"/>
  <c r="I37" i="11" s="1"/>
  <c r="H35" i="11"/>
  <c r="J35" i="11" s="1"/>
  <c r="G35" i="11"/>
  <c r="I35" i="11" s="1"/>
  <c r="H34" i="11"/>
  <c r="J34" i="11" s="1"/>
  <c r="G34" i="11"/>
  <c r="I34" i="11" s="1"/>
  <c r="J33" i="11"/>
  <c r="H33" i="11"/>
  <c r="G33" i="11"/>
  <c r="I33" i="11" s="1"/>
  <c r="J32" i="11"/>
  <c r="H32" i="11"/>
  <c r="G32" i="11"/>
  <c r="I32" i="11" s="1"/>
  <c r="H31" i="11"/>
  <c r="J31" i="11" s="1"/>
  <c r="G31" i="11"/>
  <c r="I31" i="11" s="1"/>
  <c r="J30" i="11"/>
  <c r="H30" i="11"/>
  <c r="G30" i="11"/>
  <c r="I30" i="11" s="1"/>
  <c r="H29" i="11"/>
  <c r="J29" i="11" s="1"/>
  <c r="G29" i="11"/>
  <c r="I29" i="11" s="1"/>
  <c r="H28" i="11"/>
  <c r="J28" i="11" s="1"/>
  <c r="G28" i="11"/>
  <c r="I28" i="11" s="1"/>
  <c r="J27" i="11"/>
  <c r="H27" i="11"/>
  <c r="G27" i="11"/>
  <c r="I27" i="11" s="1"/>
  <c r="J26" i="11"/>
  <c r="H26" i="11"/>
  <c r="G26" i="11"/>
  <c r="I26" i="11" s="1"/>
  <c r="H25" i="11"/>
  <c r="J25" i="11" s="1"/>
  <c r="G25" i="11"/>
  <c r="I25" i="11" s="1"/>
  <c r="J24" i="11"/>
  <c r="H24" i="11"/>
  <c r="G24" i="11"/>
  <c r="I24" i="11" s="1"/>
  <c r="H23" i="11"/>
  <c r="J23" i="11" s="1"/>
  <c r="G23" i="11"/>
  <c r="I23" i="11" s="1"/>
  <c r="H22" i="11"/>
  <c r="J22" i="11" s="1"/>
  <c r="G22" i="11"/>
  <c r="I22" i="11" s="1"/>
  <c r="J21" i="11"/>
  <c r="H21" i="11"/>
  <c r="G21" i="11"/>
  <c r="I21" i="11" s="1"/>
  <c r="J19" i="11"/>
  <c r="H19" i="11"/>
  <c r="G19" i="11"/>
  <c r="I19" i="11" s="1"/>
  <c r="H18" i="11"/>
  <c r="J18" i="11" s="1"/>
  <c r="G18" i="11"/>
  <c r="I18" i="11" s="1"/>
  <c r="H17" i="11"/>
  <c r="J17" i="11" s="1"/>
  <c r="G17" i="11"/>
  <c r="I17" i="11" s="1"/>
  <c r="H16" i="11"/>
  <c r="J16" i="11" s="1"/>
  <c r="G16" i="11"/>
  <c r="I16" i="11" s="1"/>
  <c r="H15" i="11"/>
  <c r="J15" i="11" s="1"/>
  <c r="G15" i="11"/>
  <c r="I15" i="11" s="1"/>
  <c r="J14" i="11"/>
  <c r="H14" i="11"/>
  <c r="G14" i="11"/>
  <c r="I14" i="11" s="1"/>
  <c r="J13" i="11"/>
  <c r="H13" i="11"/>
  <c r="G13" i="11"/>
  <c r="I13" i="11" s="1"/>
  <c r="H12" i="11"/>
  <c r="J12" i="11" s="1"/>
  <c r="G12" i="11"/>
  <c r="I12" i="11" s="1"/>
  <c r="H11" i="11"/>
  <c r="J11" i="11" s="1"/>
  <c r="G11" i="11"/>
  <c r="I11" i="11" s="1"/>
  <c r="H10" i="11"/>
  <c r="J10" i="11" s="1"/>
  <c r="G10" i="11"/>
  <c r="I10" i="11" s="1"/>
  <c r="H9" i="11"/>
  <c r="J9" i="11" s="1"/>
  <c r="G9" i="11"/>
  <c r="I9" i="11" s="1"/>
  <c r="H8" i="11"/>
  <c r="J8" i="11" s="1"/>
  <c r="G8" i="11"/>
  <c r="I8" i="11" s="1"/>
  <c r="J7" i="11"/>
  <c r="H7" i="11"/>
  <c r="G7" i="11"/>
  <c r="I7" i="11" s="1"/>
  <c r="H6" i="11"/>
  <c r="J6" i="11" s="1"/>
  <c r="G6" i="11"/>
  <c r="I6" i="11" s="1"/>
  <c r="H5" i="11"/>
  <c r="J5" i="11" s="1"/>
  <c r="G5" i="11"/>
  <c r="I5" i="11" s="1"/>
  <c r="H4" i="11"/>
  <c r="J4" i="11" s="1"/>
  <c r="D4" i="13" s="1"/>
  <c r="G4" i="11"/>
  <c r="I4" i="11" s="1"/>
  <c r="B4" i="13" s="1"/>
  <c r="H3" i="11"/>
  <c r="J3" i="11" s="1"/>
  <c r="G3" i="11"/>
  <c r="I3" i="11" s="1"/>
  <c r="H2" i="11"/>
  <c r="J2" i="11" s="1"/>
  <c r="G2" i="11"/>
  <c r="I2" i="11" s="1"/>
  <c r="F1" i="9"/>
  <c r="E3" i="8"/>
  <c r="B1" i="9" s="1"/>
  <c r="B66" i="7" s="1" a="1"/>
  <c r="B66" i="7" s="1"/>
  <c r="E75" i="7"/>
  <c r="D75" i="7"/>
  <c r="E74" i="7"/>
  <c r="D74" i="7"/>
  <c r="E73" i="7"/>
  <c r="D73" i="7"/>
  <c r="C73" i="7"/>
  <c r="E72" i="7"/>
  <c r="D72" i="7"/>
  <c r="C72" i="7"/>
  <c r="E71" i="7"/>
  <c r="D71" i="7"/>
  <c r="C71" i="7"/>
  <c r="E70" i="7"/>
  <c r="D70" i="7"/>
  <c r="A66" i="7" a="1"/>
  <c r="A66" i="7" s="1"/>
  <c r="A62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G8" i="6"/>
  <c r="F8" i="6"/>
  <c r="D8" i="6"/>
  <c r="C8" i="6"/>
  <c r="C75" i="7" s="1"/>
  <c r="G7" i="6"/>
  <c r="F7" i="6"/>
  <c r="D7" i="6"/>
  <c r="C7" i="6"/>
  <c r="C74" i="7" s="1"/>
  <c r="G6" i="6"/>
  <c r="F6" i="6"/>
  <c r="D6" i="6"/>
  <c r="C6" i="6"/>
  <c r="G5" i="6"/>
  <c r="F5" i="6"/>
  <c r="D5" i="6"/>
  <c r="C5" i="6"/>
  <c r="G4" i="6"/>
  <c r="F4" i="6"/>
  <c r="D4" i="6"/>
  <c r="C4" i="6"/>
  <c r="G3" i="6"/>
  <c r="F3" i="6"/>
  <c r="D3" i="6"/>
  <c r="C3" i="6"/>
  <c r="C70" i="7" s="1"/>
  <c r="G10" i="5"/>
  <c r="G9" i="5"/>
  <c r="G8" i="5"/>
  <c r="G7" i="5"/>
  <c r="G6" i="5"/>
  <c r="G5" i="5"/>
  <c r="G4" i="5"/>
  <c r="D43" i="2"/>
  <c r="K8" i="2" s="1"/>
  <c r="C43" i="2"/>
  <c r="D42" i="2"/>
  <c r="K7" i="2" s="1"/>
  <c r="C42" i="2"/>
  <c r="J7" i="2" s="1"/>
  <c r="D41" i="2"/>
  <c r="C41" i="2"/>
  <c r="D40" i="2"/>
  <c r="C40" i="2"/>
  <c r="D39" i="2"/>
  <c r="C39" i="2"/>
  <c r="D38" i="2"/>
  <c r="C38" i="2"/>
  <c r="J8" i="2"/>
  <c r="K6" i="2"/>
  <c r="J6" i="2"/>
  <c r="K5" i="2"/>
  <c r="J5" i="2"/>
  <c r="K4" i="2"/>
  <c r="J4" i="2"/>
  <c r="K3" i="2"/>
  <c r="J3" i="2"/>
  <c r="C66" i="7" l="1"/>
  <c r="B2" i="12"/>
</calcChain>
</file>

<file path=xl/sharedStrings.xml><?xml version="1.0" encoding="utf-8"?>
<sst xmlns="http://schemas.openxmlformats.org/spreadsheetml/2006/main" count="3220" uniqueCount="345">
  <si>
    <t>Use these names in Solver to avoid selection errors:</t>
  </si>
  <si>
    <t>Objective (min): Decisions_struct!$B$1 (this mirrors Objective!E3)</t>
  </si>
  <si>
    <t>By Changing: X_range, XOT_range, S_range, Y_range, YPT_range, E_range</t>
  </si>
  <si>
    <t>Constraints:</t>
  </si>
  <si>
    <t>Flow_LHS  &lt;=  Flow_RHS</t>
  </si>
  <si>
    <t>Demand_LHS  =  Demand_RHS</t>
  </si>
  <si>
    <t>Capacity_LHS  &lt;=  Capacity_RHS</t>
  </si>
  <si>
    <t>Cameras_LHS  &lt;=  Cameras_RHS</t>
  </si>
  <si>
    <t>Premium_Total  &lt;=  Premium_Budget   (optional)</t>
  </si>
  <si>
    <t>Method: Simplex LP; Options: Assume Linear Model; Make Unconstrained Vars Non-Negative</t>
  </si>
  <si>
    <t>Tip: If a name doesn't paste with F3 (Paste Name), Formulas → Name Manager to confirm it exists.</t>
  </si>
  <si>
    <t>Index Sets (for reference)</t>
  </si>
  <si>
    <t>Helper: (p,w) -&gt; W^S, W^E</t>
  </si>
  <si>
    <t>Plants (p)</t>
  </si>
  <si>
    <t>K=Kaohsiung, C=Chennai, G=Guadalajara</t>
  </si>
  <si>
    <t>p</t>
  </si>
  <si>
    <t>w</t>
  </si>
  <si>
    <t>W^S</t>
  </si>
  <si>
    <t>W^E</t>
  </si>
  <si>
    <t>Products (i)</t>
  </si>
  <si>
    <t>P=Phone, T=Tablet, L=Laptop</t>
  </si>
  <si>
    <t>K</t>
  </si>
  <si>
    <t>Weeks (w)</t>
  </si>
  <si>
    <t>45=Nov10, 46=Nov17</t>
  </si>
  <si>
    <t>Customers (c)</t>
  </si>
  <si>
    <t>Orange, Enterprise, Amazon, BestBuy, Target</t>
  </si>
  <si>
    <t>C</t>
  </si>
  <si>
    <t>G</t>
  </si>
  <si>
    <t>Base Weekly Capacity Cap_p</t>
  </si>
  <si>
    <t>Plant</t>
  </si>
  <si>
    <t>Cap_p (units/week)</t>
  </si>
  <si>
    <t>Kaohsiung (TW)</t>
  </si>
  <si>
    <t>Chennai (IN)</t>
  </si>
  <si>
    <t>Guadalajara (MX)</t>
  </si>
  <si>
    <t>Shipping Costs</t>
  </si>
  <si>
    <t>S^S_p ($/unit)</t>
  </si>
  <si>
    <t>S^E_p ($/unit)</t>
  </si>
  <si>
    <t>Premium (S^E - S^S)</t>
  </si>
  <si>
    <t>Transit Days</t>
  </si>
  <si>
    <t>D^S_p (days)</t>
  </si>
  <si>
    <t>D^E_p (days)</t>
  </si>
  <si>
    <t>Resource Factors r_i</t>
  </si>
  <si>
    <t>Product</t>
  </si>
  <si>
    <t>r_i</t>
  </si>
  <si>
    <t>P</t>
  </si>
  <si>
    <t>T</t>
  </si>
  <si>
    <t>L</t>
  </si>
  <si>
    <t>Emergency Budget B (premiums only)</t>
  </si>
  <si>
    <t>B ($)</t>
  </si>
  <si>
    <t>Delivery Window Parameters</t>
  </si>
  <si>
    <t>(Enter) A^S_{p,w} days</t>
  </si>
  <si>
    <t>(Enter) A^E_{p,w} days</t>
  </si>
  <si>
    <t>W^S = A^S/7</t>
  </si>
  <si>
    <t>W^E = A^E/7</t>
  </si>
  <si>
    <t>Provide A^S and A^E (days) for each (p,w).</t>
  </si>
  <si>
    <t>p=K, w=45</t>
  </si>
  <si>
    <t>p=K, w=46</t>
  </si>
  <si>
    <t>p=C, w=45</t>
  </si>
  <si>
    <t>p=C, w=46</t>
  </si>
  <si>
    <t>p=G, w=45</t>
  </si>
  <si>
    <t>p=G, w=46</t>
  </si>
  <si>
    <t>Camera Modules</t>
  </si>
  <si>
    <t>Total Cameras Available (all plants)</t>
  </si>
  <si>
    <t>(enter total, e.g., 455000)</t>
  </si>
  <si>
    <t>Total_Cameras</t>
  </si>
  <si>
    <t>Enter due-week demand d_{c,i} and due week w_c per customer</t>
  </si>
  <si>
    <t>Customer</t>
  </si>
  <si>
    <t>d_{c,i} (units)</t>
  </si>
  <si>
    <t>Due Week (w_c)</t>
  </si>
  <si>
    <t>Orange</t>
  </si>
  <si>
    <t>Enterprise</t>
  </si>
  <si>
    <t>Amazon</t>
  </si>
  <si>
    <t>BestBuy</t>
  </si>
  <si>
    <t>Target</t>
  </si>
  <si>
    <t>Unit production costs C_{p,i} ($/unit)</t>
  </si>
  <si>
    <t>Decision Variables (Solver will change these cells)</t>
  </si>
  <si>
    <t>Named Ranges for Solver</t>
  </si>
  <si>
    <t>Name</t>
  </si>
  <si>
    <t>Range</t>
  </si>
  <si>
    <t>X_{p,i,w} (regular units)</t>
  </si>
  <si>
    <t>p=K, i=P, w=45</t>
  </si>
  <si>
    <t>X_range</t>
  </si>
  <si>
    <t>p=K, i=P, w=46</t>
  </si>
  <si>
    <t>XOT_range</t>
  </si>
  <si>
    <t>p=K, i=T, w=45</t>
  </si>
  <si>
    <t>Y_range</t>
  </si>
  <si>
    <t>p=K, i=T, w=46</t>
  </si>
  <si>
    <t>E_range</t>
  </si>
  <si>
    <t>p=K, i=L, w=45</t>
  </si>
  <si>
    <t>S_range</t>
  </si>
  <si>
    <t>p=K, i=L, w=46</t>
  </si>
  <si>
    <t>Z_range</t>
  </si>
  <si>
    <t>p=C, i=P, w=45</t>
  </si>
  <si>
    <t>YPT_range</t>
  </si>
  <si>
    <t>p=C, i=P, w=46</t>
  </si>
  <si>
    <t>p=C, i=T, w=45</t>
  </si>
  <si>
    <t>p=C, i=T, w=46</t>
  </si>
  <si>
    <t>p=C, i=L, w=45</t>
  </si>
  <si>
    <t>p=C, i=L, w=46</t>
  </si>
  <si>
    <t>p=G, i=P, w=45</t>
  </si>
  <si>
    <t>p=G, i=P, w=46</t>
  </si>
  <si>
    <t>p=G, i=T, w=45</t>
  </si>
  <si>
    <t>p=G, i=T, w=46</t>
  </si>
  <si>
    <t>p=G, i=L, w=45</t>
  </si>
  <si>
    <t>p=G, i=L, w=46</t>
  </si>
  <si>
    <t>X^OT_{p,i,w} (overtime units)</t>
  </si>
  <si>
    <t>Y_{p,w} (0=Std, 1=Exp)</t>
  </si>
  <si>
    <t>E_{p,w} (aux: express units)</t>
  </si>
  <si>
    <t>S_{c,i,w,p} (units from plant p to customer c for week w)</t>
  </si>
  <si>
    <t>c=Orange, i=P, w=45, p=K</t>
  </si>
  <si>
    <t>c=Orange, i=P, w=45, p=C</t>
  </si>
  <si>
    <t>c=Orange, i=P, w=45, p=G</t>
  </si>
  <si>
    <t>c=Orange, i=P, w=46, p=K</t>
  </si>
  <si>
    <t>c=Orange, i=P, w=46, p=C</t>
  </si>
  <si>
    <t>c=Orange, i=P, w=46, p=G</t>
  </si>
  <si>
    <t>c=Orange, i=T, w=45, p=K</t>
  </si>
  <si>
    <t>c=Orange, i=T, w=45, p=C</t>
  </si>
  <si>
    <t>c=Orange, i=T, w=45, p=G</t>
  </si>
  <si>
    <t>c=Orange, i=T, w=46, p=K</t>
  </si>
  <si>
    <t>c=Orange, i=T, w=46, p=C</t>
  </si>
  <si>
    <t>c=Orange, i=T, w=46, p=G</t>
  </si>
  <si>
    <t>c=Orange, i=L, w=45, p=K</t>
  </si>
  <si>
    <t>c=Orange, i=L, w=45, p=C</t>
  </si>
  <si>
    <t>c=Orange, i=L, w=45, p=G</t>
  </si>
  <si>
    <t>c=Orange, i=L, w=46, p=K</t>
  </si>
  <si>
    <t>c=Orange, i=L, w=46, p=C</t>
  </si>
  <si>
    <t>c=Orange, i=L, w=46, p=G</t>
  </si>
  <si>
    <t>c=Enterprise, i=P, w=45, p=K</t>
  </si>
  <si>
    <t>c=Enterprise, i=P, w=45, p=C</t>
  </si>
  <si>
    <t>c=Enterprise, i=P, w=45, p=G</t>
  </si>
  <si>
    <t>c=Enterprise, i=P, w=46, p=K</t>
  </si>
  <si>
    <t>c=Enterprise, i=P, w=46, p=C</t>
  </si>
  <si>
    <t>c=Enterprise, i=P, w=46, p=G</t>
  </si>
  <si>
    <t>c=Enterprise, i=T, w=45, p=K</t>
  </si>
  <si>
    <t>c=Enterprise, i=T, w=45, p=C</t>
  </si>
  <si>
    <t>c=Enterprise, i=T, w=45, p=G</t>
  </si>
  <si>
    <t>c=Enterprise, i=T, w=46, p=K</t>
  </si>
  <si>
    <t>c=Enterprise, i=T, w=46, p=C</t>
  </si>
  <si>
    <t>c=Enterprise, i=T, w=46, p=G</t>
  </si>
  <si>
    <t>c=Enterprise, i=L, w=45, p=K</t>
  </si>
  <si>
    <t>c=Enterprise, i=L, w=45, p=C</t>
  </si>
  <si>
    <t>c=Enterprise, i=L, w=45, p=G</t>
  </si>
  <si>
    <t>c=Enterprise, i=L, w=46, p=K</t>
  </si>
  <si>
    <t>c=Enterprise, i=L, w=46, p=C</t>
  </si>
  <si>
    <t>c=Enterprise, i=L, w=46, p=G</t>
  </si>
  <si>
    <t>c=Amazon, i=P, w=45, p=K</t>
  </si>
  <si>
    <t>c=Amazon, i=P, w=45, p=C</t>
  </si>
  <si>
    <t>c=Amazon, i=P, w=45, p=G</t>
  </si>
  <si>
    <t>c=Amazon, i=P, w=46, p=K</t>
  </si>
  <si>
    <t>c=Amazon, i=P, w=46, p=C</t>
  </si>
  <si>
    <t>c=Amazon, i=P, w=46, p=G</t>
  </si>
  <si>
    <t>c=Amazon, i=T, w=45, p=K</t>
  </si>
  <si>
    <t>c=Amazon, i=T, w=45, p=C</t>
  </si>
  <si>
    <t>c=Amazon, i=T, w=45, p=G</t>
  </si>
  <si>
    <t>c=Amazon, i=T, w=46, p=K</t>
  </si>
  <si>
    <t>c=Amazon, i=T, w=46, p=C</t>
  </si>
  <si>
    <t>c=Amazon, i=T, w=46, p=G</t>
  </si>
  <si>
    <t>c=Amazon, i=L, w=45, p=K</t>
  </si>
  <si>
    <t>c=Amazon, i=L, w=45, p=C</t>
  </si>
  <si>
    <t>c=Amazon, i=L, w=45, p=G</t>
  </si>
  <si>
    <t>c=Amazon, i=L, w=46, p=K</t>
  </si>
  <si>
    <t>c=Amazon, i=L, w=46, p=C</t>
  </si>
  <si>
    <t>c=Amazon, i=L, w=46, p=G</t>
  </si>
  <si>
    <t>c=BestBuy, i=P, w=45, p=K</t>
  </si>
  <si>
    <t>c=BestBuy, i=P, w=45, p=C</t>
  </si>
  <si>
    <t>c=BestBuy, i=P, w=45, p=G</t>
  </si>
  <si>
    <t>c=BestBuy, i=P, w=46, p=K</t>
  </si>
  <si>
    <t>c=BestBuy, i=P, w=46, p=C</t>
  </si>
  <si>
    <t>c=BestBuy, i=P, w=46, p=G</t>
  </si>
  <si>
    <t>c=BestBuy, i=T, w=45, p=K</t>
  </si>
  <si>
    <t>c=BestBuy, i=T, w=45, p=C</t>
  </si>
  <si>
    <t>c=BestBuy, i=T, w=45, p=G</t>
  </si>
  <si>
    <t>c=BestBuy, i=T, w=46, p=K</t>
  </si>
  <si>
    <t>c=BestBuy, i=T, w=46, p=C</t>
  </si>
  <si>
    <t>c=BestBuy, i=T, w=46, p=G</t>
  </si>
  <si>
    <t>c=BestBuy, i=L, w=45, p=K</t>
  </si>
  <si>
    <t>c=BestBuy, i=L, w=45, p=C</t>
  </si>
  <si>
    <t>c=BestBuy, i=L, w=45, p=G</t>
  </si>
  <si>
    <t>c=BestBuy, i=L, w=46, p=K</t>
  </si>
  <si>
    <t>c=BestBuy, i=L, w=46, p=C</t>
  </si>
  <si>
    <t>c=BestBuy, i=L, w=46, p=G</t>
  </si>
  <si>
    <t>c=Target, i=P, w=45, p=K</t>
  </si>
  <si>
    <t>c=Target, i=P, w=45, p=C</t>
  </si>
  <si>
    <t>c=Target, i=P, w=45, p=G</t>
  </si>
  <si>
    <t>c=Target, i=P, w=46, p=K</t>
  </si>
  <si>
    <t>c=Target, i=P, w=46, p=C</t>
  </si>
  <si>
    <t>c=Target, i=P, w=46, p=G</t>
  </si>
  <si>
    <t>c=Target, i=T, w=45, p=K</t>
  </si>
  <si>
    <t>c=Target, i=T, w=45, p=C</t>
  </si>
  <si>
    <t>c=Target, i=T, w=45, p=G</t>
  </si>
  <si>
    <t>c=Target, i=T, w=46, p=K</t>
  </si>
  <si>
    <t>c=Target, i=T, w=46, p=C</t>
  </si>
  <si>
    <t>c=Target, i=T, w=46, p=G</t>
  </si>
  <si>
    <t>c=Target, i=L, w=45, p=K</t>
  </si>
  <si>
    <t>c=Target, i=L, w=45, p=C</t>
  </si>
  <si>
    <t>c=Target, i=L, w=45, p=G</t>
  </si>
  <si>
    <t>c=Target, i=L, w=46, p=K</t>
  </si>
  <si>
    <t>c=Target, i=L, w=46, p=C</t>
  </si>
  <si>
    <t>c=Target, i=L, w=46, p=G</t>
  </si>
  <si>
    <t>Z_{c,i} (all-or-nothing)</t>
  </si>
  <si>
    <t>c=Orange, i=P</t>
  </si>
  <si>
    <t>c=Orange, i=T</t>
  </si>
  <si>
    <t>c=Orange, i=L</t>
  </si>
  <si>
    <t>c=Enterprise, i=P</t>
  </si>
  <si>
    <t>c=Enterprise, i=T</t>
  </si>
  <si>
    <t>c=Enterprise, i=L</t>
  </si>
  <si>
    <t>c=Amazon, i=P</t>
  </si>
  <si>
    <t>c=Amazon, i=T</t>
  </si>
  <si>
    <t>c=Amazon, i=L</t>
  </si>
  <si>
    <t>c=BestBuy, i=P</t>
  </si>
  <si>
    <t>c=BestBuy, i=T</t>
  </si>
  <si>
    <t>c=BestBuy, i=L</t>
  </si>
  <si>
    <t>c=Target, i=P</t>
  </si>
  <si>
    <t>c=Target, i=T</t>
  </si>
  <si>
    <t>c=Target, i=L</t>
  </si>
  <si>
    <t>Y^{PT}_{c,i,w} (late indicator)</t>
  </si>
  <si>
    <t>c=Orange, i=P, w=45</t>
  </si>
  <si>
    <t>c=Orange, i=P, w=46</t>
  </si>
  <si>
    <t>c=Orange, i=T, w=45</t>
  </si>
  <si>
    <t>c=Orange, i=T, w=46</t>
  </si>
  <si>
    <t>c=Orange, i=L, w=45</t>
  </si>
  <si>
    <t>c=Orange, i=L, w=46</t>
  </si>
  <si>
    <t>c=Enterprise, i=P, w=45</t>
  </si>
  <si>
    <t>c=Enterprise, i=P, w=46</t>
  </si>
  <si>
    <t>c=Enterprise, i=T, w=45</t>
  </si>
  <si>
    <t>c=Enterprise, i=T, w=46</t>
  </si>
  <si>
    <t>c=Enterprise, i=L, w=45</t>
  </si>
  <si>
    <t>c=Enterprise, i=L, w=46</t>
  </si>
  <si>
    <t>c=Amazon, i=P, w=45</t>
  </si>
  <si>
    <t>c=Amazon, i=P, w=46</t>
  </si>
  <si>
    <t>c=Amazon, i=T, w=45</t>
  </si>
  <si>
    <t>c=Amazon, i=T, w=46</t>
  </si>
  <si>
    <t>c=Amazon, i=L, w=45</t>
  </si>
  <si>
    <t>c=Amazon, i=L, w=46</t>
  </si>
  <si>
    <t>c=BestBuy, i=P, w=45</t>
  </si>
  <si>
    <t>c=BestBuy, i=P, w=46</t>
  </si>
  <si>
    <t>c=BestBuy, i=T, w=45</t>
  </si>
  <si>
    <t>c=BestBuy, i=T, w=46</t>
  </si>
  <si>
    <t>c=BestBuy, i=L, w=45</t>
  </si>
  <si>
    <t>c=BestBuy, i=L, w=46</t>
  </si>
  <si>
    <t>c=Target, i=P, w=45</t>
  </si>
  <si>
    <t>c=Target, i=P, w=46</t>
  </si>
  <si>
    <t>c=Target, i=T, w=45</t>
  </si>
  <si>
    <t>c=Target, i=T, w=46</t>
  </si>
  <si>
    <t>c=Target, i=L, w=45</t>
  </si>
  <si>
    <t>c=Target, i=L, w=46</t>
  </si>
  <si>
    <t>Derived quantities and objective components</t>
  </si>
  <si>
    <t>Week</t>
  </si>
  <si>
    <t>Q_{p,w}</t>
  </si>
  <si>
    <t>E_{p,w}</t>
  </si>
  <si>
    <t>Cap_p</t>
  </si>
  <si>
    <t xml:space="preserve">Constraint LHS and RHS </t>
  </si>
  <si>
    <t>Flow balance: sum_c S_{c,i,w,p} &lt;= X+XOT</t>
  </si>
  <si>
    <t>i</t>
  </si>
  <si>
    <t>LHS (sum S)</t>
  </si>
  <si>
    <t>RHS (X+XOT)</t>
  </si>
  <si>
    <t>Demand satisfaction: sum_p S_{c,i,w_c,p} &gt;= d_{c,i}</t>
  </si>
  <si>
    <t>c</t>
  </si>
  <si>
    <t>w_c</t>
  </si>
  <si>
    <t>RHS (d_{c,i})</t>
  </si>
  <si>
    <t>Capacity-window (regular): sum_i r_i X_{p,i,w} - (W^E Cap - W^S Cap) Y_{p,w} &lt;= W^S Cap</t>
  </si>
  <si>
    <t>LHS</t>
  </si>
  <si>
    <t>RHS</t>
  </si>
  <si>
    <t>Capacity-window (OT): sum_i r_i X^OT_{p,i,w} - 0.25*(W^E Cap - W^S Cap) Y_{p,w} &lt;= 0.25*W^S Cap</t>
  </si>
  <si>
    <t>Total cameras: sum_{p,i,w} (X+XOT) &lt;= Total_Cameras</t>
  </si>
  <si>
    <t>LHS total units</t>
  </si>
  <si>
    <t>RHS cameras available</t>
  </si>
  <si>
    <t>Emergency budget (linearized with E): 0.5*C*XOT + (S^E - S^S)*E &lt;= B</t>
  </si>
  <si>
    <t>OT premium</t>
  </si>
  <si>
    <t>Express premium</t>
  </si>
  <si>
    <t>Total premium</t>
  </si>
  <si>
    <t>Budget B</t>
  </si>
  <si>
    <t>E linearization constraints (add three inequalities per row in Solver)</t>
  </si>
  <si>
    <t>Y_{p,w}</t>
  </si>
  <si>
    <t>Objective components</t>
  </si>
  <si>
    <t>Regular production cost</t>
  </si>
  <si>
    <t>OT cost</t>
  </si>
  <si>
    <t>Shipping cost</t>
  </si>
  <si>
    <t>Penalty cost</t>
  </si>
  <si>
    <t>Total Z</t>
  </si>
  <si>
    <t>block</t>
  </si>
  <si>
    <t>p_name</t>
  </si>
  <si>
    <t>Decision var count</t>
  </si>
  <si>
    <t>value</t>
  </si>
  <si>
    <t>type_hint</t>
  </si>
  <si>
    <t>E</t>
  </si>
  <si>
    <t>int</t>
  </si>
  <si>
    <t>S</t>
  </si>
  <si>
    <t>X</t>
  </si>
  <si>
    <t>XOT</t>
  </si>
  <si>
    <t>Y</t>
  </si>
  <si>
    <t>bin</t>
  </si>
  <si>
    <t>Z_AMZ</t>
  </si>
  <si>
    <t>Sheet</t>
  </si>
  <si>
    <t>Top-left</t>
  </si>
  <si>
    <t>Bottom-right</t>
  </si>
  <si>
    <t>Decisions_struct</t>
  </si>
  <si>
    <t>$G$2</t>
  </si>
  <si>
    <t>$G$55</t>
  </si>
  <si>
    <t>$G$56</t>
  </si>
  <si>
    <t>$G$109</t>
  </si>
  <si>
    <t>$G$110</t>
  </si>
  <si>
    <t>$G$127</t>
  </si>
  <si>
    <t>$G$128</t>
  </si>
  <si>
    <t>$G$397</t>
  </si>
  <si>
    <t>$G$398</t>
  </si>
  <si>
    <t>$G$400</t>
  </si>
  <si>
    <t>Objective</t>
  </si>
  <si>
    <t>E3</t>
  </si>
  <si>
    <t>Type</t>
  </si>
  <si>
    <t>p_code</t>
  </si>
  <si>
    <t>Relation</t>
  </si>
  <si>
    <t>Flow</t>
  </si>
  <si>
    <t>Demand</t>
  </si>
  <si>
    <t>Capacity</t>
  </si>
  <si>
    <t>Cameras</t>
  </si>
  <si>
    <t>&lt;=</t>
  </si>
  <si>
    <t>Premium helpers (p,w)</t>
  </si>
  <si>
    <t>OT premium (robust calc)</t>
  </si>
  <si>
    <t>XOT units</t>
  </si>
  <si>
    <t>Unit cost</t>
  </si>
  <si>
    <t>XOT*cost</t>
  </si>
  <si>
    <t>OT premium total</t>
  </si>
  <si>
    <t>Slim model (variables + objective mirror)</t>
  </si>
  <si>
    <t>Objective mirror</t>
  </si>
  <si>
    <t>Decision count</t>
  </si>
  <si>
    <t>Constraints (use these named ranges in OpenSolver)</t>
  </si>
  <si>
    <t>Name (LHS)</t>
  </si>
  <si>
    <t>LHS (value)</t>
  </si>
  <si>
    <t>Name (RHS)</t>
  </si>
  <si>
    <t>RHS (value)</t>
  </si>
  <si>
    <t>Flow_LHS</t>
  </si>
  <si>
    <t>Flow_RHS</t>
  </si>
  <si>
    <t>Demand_LHS</t>
  </si>
  <si>
    <t>Demand_RHS</t>
  </si>
  <si>
    <t>Capacity_LHS</t>
  </si>
  <si>
    <t>Capacity_RHS</t>
  </si>
  <si>
    <t>Cameras_LHS</t>
  </si>
  <si>
    <t>Cameras_RHS</t>
  </si>
  <si>
    <t>OpenSolver quick start</t>
  </si>
  <si>
    <t>Objective (min): MODEL_Run!$B$2</t>
  </si>
  <si>
    <t>Variable Cells (names): X_range,XOT_range,S_range,E_range,Y_range,YPT_range</t>
  </si>
  <si>
    <t>Type constraints: X_range int; XOT_range int; S_range int; Y_range bin; YPT_range bin (leave E_range continuous)</t>
  </si>
  <si>
    <t>Linear constraints: Flow_LHS&lt;=Flow_RHS; Demand_LHS=Demand_RHS; Capacity_LHS&lt;=Capacity_RHS; Cameras_LHS&lt;=Cameras_RHS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</si>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</sst>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2" fillId="0" borderId="0" xfId="0" applyFont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4" spans="1:1" x14ac:dyDescent="0.25">
      <c r="A14" t="s">
        <v>9</v>
      </c>
    </row>
    <row r="16" spans="1:1" x14ac:dyDescent="0.25">
      <c r="A1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workbookViewId="0">
      <selection activeCell="F47" sqref="F47"/>
    </sheetView>
  </sheetViews>
  <sheetFormatPr defaultRowHeight="15" x14ac:dyDescent="0.25"/>
  <cols>
    <col min="1" max="1" width="35" bestFit="1" customWidth="1"/>
    <col min="2" max="2" width="41.42578125" bestFit="1" customWidth="1"/>
    <col min="3" max="3" width="13.5703125" bestFit="1" customWidth="1"/>
    <col min="4" max="4" width="18.85546875" bestFit="1" customWidth="1"/>
    <col min="6" max="6" width="15.42578125" customWidth="1"/>
    <col min="8" max="8" width="9.5703125" customWidth="1"/>
  </cols>
  <sheetData>
    <row r="1" spans="1:11" x14ac:dyDescent="0.25">
      <c r="A1" s="1" t="s">
        <v>11</v>
      </c>
      <c r="H1" s="1" t="s">
        <v>12</v>
      </c>
    </row>
    <row r="2" spans="1:11" x14ac:dyDescent="0.25">
      <c r="A2" s="2" t="s">
        <v>13</v>
      </c>
      <c r="B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x14ac:dyDescent="0.25">
      <c r="A3" s="2" t="s">
        <v>19</v>
      </c>
      <c r="B3" s="2" t="s">
        <v>20</v>
      </c>
      <c r="H3" s="3" t="s">
        <v>21</v>
      </c>
      <c r="I3" s="3">
        <v>45</v>
      </c>
      <c r="J3">
        <f t="shared" ref="J3:K8" si="0">C38</f>
        <v>0</v>
      </c>
      <c r="K3">
        <f t="shared" si="0"/>
        <v>0</v>
      </c>
    </row>
    <row r="4" spans="1:11" x14ac:dyDescent="0.25">
      <c r="A4" s="2" t="s">
        <v>22</v>
      </c>
      <c r="B4" s="2" t="s">
        <v>23</v>
      </c>
      <c r="H4" s="3" t="s">
        <v>21</v>
      </c>
      <c r="I4" s="3">
        <v>46</v>
      </c>
      <c r="J4">
        <f t="shared" si="0"/>
        <v>0</v>
      </c>
      <c r="K4">
        <f t="shared" si="0"/>
        <v>0</v>
      </c>
    </row>
    <row r="5" spans="1:11" x14ac:dyDescent="0.25">
      <c r="A5" s="2" t="s">
        <v>24</v>
      </c>
      <c r="B5" s="2" t="s">
        <v>25</v>
      </c>
      <c r="H5" s="3" t="s">
        <v>26</v>
      </c>
      <c r="I5" s="3">
        <v>45</v>
      </c>
      <c r="J5">
        <f t="shared" si="0"/>
        <v>0</v>
      </c>
      <c r="K5">
        <f t="shared" si="0"/>
        <v>0</v>
      </c>
    </row>
    <row r="6" spans="1:11" x14ac:dyDescent="0.25">
      <c r="H6" s="3" t="s">
        <v>26</v>
      </c>
      <c r="I6" s="3">
        <v>46</v>
      </c>
      <c r="J6">
        <f t="shared" si="0"/>
        <v>0</v>
      </c>
      <c r="K6">
        <f t="shared" si="0"/>
        <v>0</v>
      </c>
    </row>
    <row r="7" spans="1:11" x14ac:dyDescent="0.25">
      <c r="H7" s="3" t="s">
        <v>27</v>
      </c>
      <c r="I7" s="3">
        <v>45</v>
      </c>
      <c r="J7">
        <f t="shared" si="0"/>
        <v>0</v>
      </c>
      <c r="K7">
        <f t="shared" si="0"/>
        <v>0</v>
      </c>
    </row>
    <row r="8" spans="1:11" x14ac:dyDescent="0.25">
      <c r="A8" s="1" t="s">
        <v>28</v>
      </c>
      <c r="H8" s="3" t="s">
        <v>27</v>
      </c>
      <c r="I8" s="3">
        <v>46</v>
      </c>
      <c r="J8">
        <f t="shared" si="0"/>
        <v>0</v>
      </c>
      <c r="K8">
        <f t="shared" si="0"/>
        <v>0</v>
      </c>
    </row>
    <row r="9" spans="1:11" x14ac:dyDescent="0.25">
      <c r="A9" s="2" t="s">
        <v>29</v>
      </c>
      <c r="B9" s="2" t="s">
        <v>30</v>
      </c>
    </row>
    <row r="10" spans="1:11" x14ac:dyDescent="0.25">
      <c r="A10" s="3" t="s">
        <v>31</v>
      </c>
      <c r="B10" s="3">
        <v>52500</v>
      </c>
    </row>
    <row r="11" spans="1:11" x14ac:dyDescent="0.25">
      <c r="A11" s="3" t="s">
        <v>32</v>
      </c>
      <c r="B11" s="3">
        <v>80000</v>
      </c>
    </row>
    <row r="12" spans="1:11" x14ac:dyDescent="0.25">
      <c r="A12" s="3" t="s">
        <v>33</v>
      </c>
      <c r="B12" s="3">
        <v>40000</v>
      </c>
    </row>
    <row r="14" spans="1:11" x14ac:dyDescent="0.25">
      <c r="A14" s="1" t="s">
        <v>34</v>
      </c>
    </row>
    <row r="15" spans="1:11" x14ac:dyDescent="0.25">
      <c r="A15" s="2" t="s">
        <v>29</v>
      </c>
      <c r="B15" s="2" t="s">
        <v>35</v>
      </c>
      <c r="C15" s="2" t="s">
        <v>36</v>
      </c>
      <c r="D15" s="2" t="s">
        <v>37</v>
      </c>
    </row>
    <row r="16" spans="1:11" x14ac:dyDescent="0.25">
      <c r="A16" s="3" t="s">
        <v>31</v>
      </c>
      <c r="B16" s="3">
        <v>15</v>
      </c>
      <c r="C16" s="3">
        <v>60</v>
      </c>
      <c r="D16" s="3">
        <v>45</v>
      </c>
    </row>
    <row r="17" spans="1:4" x14ac:dyDescent="0.25">
      <c r="A17" s="3" t="s">
        <v>32</v>
      </c>
      <c r="B17" s="3">
        <v>16</v>
      </c>
      <c r="C17" s="3">
        <v>65</v>
      </c>
      <c r="D17" s="3">
        <v>49</v>
      </c>
    </row>
    <row r="18" spans="1:4" x14ac:dyDescent="0.25">
      <c r="A18" s="3" t="s">
        <v>33</v>
      </c>
      <c r="B18" s="3">
        <v>5</v>
      </c>
      <c r="C18" s="3">
        <v>15</v>
      </c>
      <c r="D18" s="3">
        <v>10</v>
      </c>
    </row>
    <row r="20" spans="1:4" x14ac:dyDescent="0.25">
      <c r="A20" s="1" t="s">
        <v>38</v>
      </c>
    </row>
    <row r="21" spans="1:4" x14ac:dyDescent="0.25">
      <c r="A21" s="2" t="s">
        <v>29</v>
      </c>
      <c r="B21" s="2" t="s">
        <v>39</v>
      </c>
      <c r="C21" s="2" t="s">
        <v>40</v>
      </c>
    </row>
    <row r="22" spans="1:4" x14ac:dyDescent="0.25">
      <c r="A22" s="3" t="s">
        <v>31</v>
      </c>
      <c r="B22" s="3">
        <v>18</v>
      </c>
      <c r="C22" s="3">
        <v>3</v>
      </c>
    </row>
    <row r="23" spans="1:4" x14ac:dyDescent="0.25">
      <c r="A23" s="3" t="s">
        <v>32</v>
      </c>
      <c r="B23" s="3">
        <v>20</v>
      </c>
      <c r="C23" s="3">
        <v>4</v>
      </c>
    </row>
    <row r="24" spans="1:4" x14ac:dyDescent="0.25">
      <c r="A24" s="3" t="s">
        <v>33</v>
      </c>
      <c r="B24" s="3">
        <v>3</v>
      </c>
      <c r="C24" s="3">
        <v>1</v>
      </c>
    </row>
    <row r="26" spans="1:4" x14ac:dyDescent="0.25">
      <c r="A26" s="1" t="s">
        <v>41</v>
      </c>
    </row>
    <row r="27" spans="1:4" x14ac:dyDescent="0.25">
      <c r="A27" s="2" t="s">
        <v>42</v>
      </c>
      <c r="B27" s="2" t="s">
        <v>43</v>
      </c>
    </row>
    <row r="28" spans="1:4" x14ac:dyDescent="0.25">
      <c r="A28" s="3" t="s">
        <v>44</v>
      </c>
      <c r="B28" s="3">
        <v>1</v>
      </c>
    </row>
    <row r="29" spans="1:4" x14ac:dyDescent="0.25">
      <c r="A29" s="3" t="s">
        <v>45</v>
      </c>
      <c r="B29" s="3">
        <v>1.5</v>
      </c>
    </row>
    <row r="30" spans="1:4" x14ac:dyDescent="0.25">
      <c r="A30" s="3" t="s">
        <v>46</v>
      </c>
      <c r="B30" s="3">
        <v>2</v>
      </c>
    </row>
    <row r="32" spans="1:4" x14ac:dyDescent="0.25">
      <c r="A32" s="1" t="s">
        <v>47</v>
      </c>
    </row>
    <row r="33" spans="1:6" x14ac:dyDescent="0.25">
      <c r="A33" s="2" t="s">
        <v>48</v>
      </c>
    </row>
    <row r="34" spans="1:6" x14ac:dyDescent="0.25">
      <c r="B34" s="4">
        <v>15000000</v>
      </c>
    </row>
    <row r="36" spans="1:6" x14ac:dyDescent="0.25">
      <c r="A36" s="1" t="s">
        <v>49</v>
      </c>
    </row>
    <row r="37" spans="1:6" x14ac:dyDescent="0.25">
      <c r="A37" s="2" t="s">
        <v>50</v>
      </c>
      <c r="B37" s="2" t="s">
        <v>51</v>
      </c>
      <c r="C37" s="2" t="s">
        <v>52</v>
      </c>
      <c r="D37" s="2" t="s">
        <v>53</v>
      </c>
      <c r="F37" s="5" t="s">
        <v>54</v>
      </c>
    </row>
    <row r="38" spans="1:6" x14ac:dyDescent="0.25">
      <c r="C38">
        <f t="shared" ref="C38:D43" si="1">A38/7</f>
        <v>0</v>
      </c>
      <c r="D38">
        <f t="shared" si="1"/>
        <v>0</v>
      </c>
      <c r="F38" t="s">
        <v>55</v>
      </c>
    </row>
    <row r="39" spans="1:6" x14ac:dyDescent="0.25">
      <c r="C39">
        <f t="shared" si="1"/>
        <v>0</v>
      </c>
      <c r="D39">
        <f t="shared" si="1"/>
        <v>0</v>
      </c>
      <c r="F39" t="s">
        <v>56</v>
      </c>
    </row>
    <row r="40" spans="1:6" x14ac:dyDescent="0.25">
      <c r="C40">
        <f t="shared" si="1"/>
        <v>0</v>
      </c>
      <c r="D40">
        <f t="shared" si="1"/>
        <v>0</v>
      </c>
      <c r="F40" t="s">
        <v>57</v>
      </c>
    </row>
    <row r="41" spans="1:6" x14ac:dyDescent="0.25">
      <c r="C41">
        <f t="shared" si="1"/>
        <v>0</v>
      </c>
      <c r="D41">
        <f t="shared" si="1"/>
        <v>0</v>
      </c>
      <c r="F41" t="s">
        <v>58</v>
      </c>
    </row>
    <row r="42" spans="1:6" x14ac:dyDescent="0.25">
      <c r="C42">
        <f t="shared" si="1"/>
        <v>0</v>
      </c>
      <c r="D42">
        <f t="shared" si="1"/>
        <v>0</v>
      </c>
      <c r="F42" t="s">
        <v>59</v>
      </c>
    </row>
    <row r="43" spans="1:6" x14ac:dyDescent="0.25">
      <c r="C43">
        <f t="shared" si="1"/>
        <v>0</v>
      </c>
      <c r="D43">
        <f t="shared" si="1"/>
        <v>0</v>
      </c>
      <c r="F43" t="s">
        <v>60</v>
      </c>
    </row>
    <row r="46" spans="1:6" x14ac:dyDescent="0.25">
      <c r="A46" s="1" t="s">
        <v>61</v>
      </c>
    </row>
    <row r="47" spans="1:6" x14ac:dyDescent="0.25">
      <c r="A47" s="2" t="s">
        <v>62</v>
      </c>
      <c r="B47" s="2" t="s">
        <v>63</v>
      </c>
    </row>
    <row r="48" spans="1:6" x14ac:dyDescent="0.25">
      <c r="A48" s="3" t="s">
        <v>64</v>
      </c>
      <c r="B48" s="4">
        <v>455000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C22" sqref="C22"/>
    </sheetView>
  </sheetViews>
  <sheetFormatPr defaultRowHeight="15" x14ac:dyDescent="0.25"/>
  <cols>
    <col min="1" max="1" width="59.42578125" bestFit="1" customWidth="1"/>
    <col min="2" max="2" width="7.85546875" bestFit="1" customWidth="1"/>
    <col min="3" max="3" width="12.85546875" bestFit="1" customWidth="1"/>
    <col min="4" max="4" width="15.7109375" bestFit="1" customWidth="1"/>
  </cols>
  <sheetData>
    <row r="1" spans="1:4" x14ac:dyDescent="0.25">
      <c r="A1" s="1" t="s">
        <v>65</v>
      </c>
    </row>
    <row r="2" spans="1:4" x14ac:dyDescent="0.25">
      <c r="A2" s="2" t="s">
        <v>66</v>
      </c>
      <c r="B2" s="2" t="s">
        <v>42</v>
      </c>
      <c r="C2" s="2" t="s">
        <v>67</v>
      </c>
      <c r="D2" s="2" t="s">
        <v>68</v>
      </c>
    </row>
    <row r="3" spans="1:4" x14ac:dyDescent="0.25">
      <c r="A3" s="3" t="s">
        <v>69</v>
      </c>
      <c r="B3" s="3" t="s">
        <v>44</v>
      </c>
      <c r="C3" s="3">
        <v>60000</v>
      </c>
      <c r="D3" s="3">
        <v>45</v>
      </c>
    </row>
    <row r="4" spans="1:4" x14ac:dyDescent="0.25">
      <c r="A4" s="3" t="s">
        <v>69</v>
      </c>
      <c r="B4" s="3" t="s">
        <v>45</v>
      </c>
      <c r="C4" s="3">
        <v>20000</v>
      </c>
      <c r="D4" s="3">
        <v>45</v>
      </c>
    </row>
    <row r="5" spans="1:4" x14ac:dyDescent="0.25">
      <c r="A5" s="3" t="s">
        <v>69</v>
      </c>
      <c r="B5" s="3" t="s">
        <v>46</v>
      </c>
      <c r="C5" s="3">
        <v>18000</v>
      </c>
      <c r="D5" s="3">
        <v>45</v>
      </c>
    </row>
    <row r="6" spans="1:4" x14ac:dyDescent="0.25">
      <c r="A6" s="3" t="s">
        <v>70</v>
      </c>
      <c r="B6" s="3" t="s">
        <v>44</v>
      </c>
      <c r="C6" s="3">
        <v>10000</v>
      </c>
      <c r="D6" s="3">
        <v>45</v>
      </c>
    </row>
    <row r="7" spans="1:4" x14ac:dyDescent="0.25">
      <c r="A7" s="3" t="s">
        <v>70</v>
      </c>
      <c r="B7" s="3" t="s">
        <v>45</v>
      </c>
      <c r="C7" s="3">
        <v>5000</v>
      </c>
      <c r="D7" s="3">
        <v>45</v>
      </c>
    </row>
    <row r="8" spans="1:4" x14ac:dyDescent="0.25">
      <c r="A8" s="3" t="s">
        <v>70</v>
      </c>
      <c r="B8" s="3" t="s">
        <v>46</v>
      </c>
      <c r="C8" s="3">
        <v>30000</v>
      </c>
      <c r="D8" s="3">
        <v>45</v>
      </c>
    </row>
    <row r="9" spans="1:4" x14ac:dyDescent="0.25">
      <c r="A9" s="3" t="s">
        <v>71</v>
      </c>
      <c r="B9" s="3" t="s">
        <v>44</v>
      </c>
      <c r="C9" s="3">
        <v>80000</v>
      </c>
      <c r="D9" s="3">
        <v>46</v>
      </c>
    </row>
    <row r="10" spans="1:4" x14ac:dyDescent="0.25">
      <c r="A10" s="3" t="s">
        <v>71</v>
      </c>
      <c r="B10" s="3" t="s">
        <v>45</v>
      </c>
      <c r="C10" s="3">
        <v>40000</v>
      </c>
      <c r="D10" s="3">
        <v>46</v>
      </c>
    </row>
    <row r="11" spans="1:4" x14ac:dyDescent="0.25">
      <c r="A11" s="3" t="s">
        <v>71</v>
      </c>
      <c r="B11" s="3" t="s">
        <v>46</v>
      </c>
      <c r="C11" s="3">
        <v>25000</v>
      </c>
      <c r="D11" s="3">
        <v>46</v>
      </c>
    </row>
    <row r="12" spans="1:4" x14ac:dyDescent="0.25">
      <c r="A12" s="3" t="s">
        <v>72</v>
      </c>
      <c r="B12" s="3" t="s">
        <v>44</v>
      </c>
      <c r="C12" s="3">
        <v>50000</v>
      </c>
      <c r="D12" s="3">
        <v>46</v>
      </c>
    </row>
    <row r="13" spans="1:4" x14ac:dyDescent="0.25">
      <c r="A13" s="3" t="s">
        <v>72</v>
      </c>
      <c r="B13" s="3" t="s">
        <v>45</v>
      </c>
      <c r="C13" s="3">
        <v>30000</v>
      </c>
      <c r="D13" s="3">
        <v>46</v>
      </c>
    </row>
    <row r="14" spans="1:4" x14ac:dyDescent="0.25">
      <c r="A14" s="3" t="s">
        <v>72</v>
      </c>
      <c r="B14" s="3" t="s">
        <v>46</v>
      </c>
      <c r="C14" s="3">
        <v>15000</v>
      </c>
      <c r="D14" s="3">
        <v>46</v>
      </c>
    </row>
    <row r="15" spans="1:4" x14ac:dyDescent="0.25">
      <c r="A15" s="3" t="s">
        <v>73</v>
      </c>
      <c r="B15" s="3" t="s">
        <v>44</v>
      </c>
      <c r="C15" s="3">
        <v>35000</v>
      </c>
      <c r="D15" s="3">
        <v>46</v>
      </c>
    </row>
    <row r="16" spans="1:4" x14ac:dyDescent="0.25">
      <c r="A16" s="3" t="s">
        <v>73</v>
      </c>
      <c r="B16" s="3" t="s">
        <v>45</v>
      </c>
      <c r="C16" s="3">
        <v>25000</v>
      </c>
      <c r="D16" s="3">
        <v>46</v>
      </c>
    </row>
    <row r="17" spans="1:4" x14ac:dyDescent="0.25">
      <c r="A17" s="3" t="s">
        <v>73</v>
      </c>
      <c r="B17" s="3" t="s">
        <v>46</v>
      </c>
      <c r="C17" s="3">
        <v>10000</v>
      </c>
      <c r="D17" s="3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5" x14ac:dyDescent="0.25"/>
  <cols>
    <col min="1" max="1" width="34.28515625" bestFit="1" customWidth="1"/>
  </cols>
  <sheetData>
    <row r="1" spans="1:4" x14ac:dyDescent="0.25">
      <c r="A1" s="1" t="s">
        <v>74</v>
      </c>
    </row>
    <row r="2" spans="1:4" x14ac:dyDescent="0.25">
      <c r="A2" s="2" t="s">
        <v>29</v>
      </c>
      <c r="B2" s="2" t="s">
        <v>44</v>
      </c>
      <c r="C2" s="2" t="s">
        <v>45</v>
      </c>
      <c r="D2" s="2" t="s">
        <v>46</v>
      </c>
    </row>
    <row r="3" spans="1:4" x14ac:dyDescent="0.25">
      <c r="A3" s="3" t="s">
        <v>31</v>
      </c>
      <c r="B3" s="3">
        <v>390</v>
      </c>
      <c r="C3" s="3">
        <v>585</v>
      </c>
      <c r="D3" s="3">
        <v>750</v>
      </c>
    </row>
    <row r="4" spans="1:4" x14ac:dyDescent="0.25">
      <c r="A4" s="3" t="s">
        <v>32</v>
      </c>
      <c r="B4" s="3">
        <v>427</v>
      </c>
      <c r="C4" s="3">
        <v>640</v>
      </c>
      <c r="D4" s="3">
        <v>790</v>
      </c>
    </row>
    <row r="5" spans="1:4" x14ac:dyDescent="0.25">
      <c r="A5" s="3" t="s">
        <v>33</v>
      </c>
      <c r="B5" s="3">
        <v>466</v>
      </c>
      <c r="C5" s="3">
        <v>699</v>
      </c>
      <c r="D5" s="3">
        <v>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8"/>
  <sheetViews>
    <sheetView workbookViewId="0"/>
  </sheetViews>
  <sheetFormatPr defaultRowHeight="15" x14ac:dyDescent="0.25"/>
  <cols>
    <col min="1" max="1" width="27.7109375" customWidth="1"/>
    <col min="6" max="6" width="23.5703125" bestFit="1" customWidth="1"/>
  </cols>
  <sheetData>
    <row r="1" spans="1:7" x14ac:dyDescent="0.25">
      <c r="A1" s="1" t="s">
        <v>75</v>
      </c>
      <c r="F1" s="1" t="s">
        <v>76</v>
      </c>
    </row>
    <row r="2" spans="1:7" x14ac:dyDescent="0.25">
      <c r="F2" s="2" t="s">
        <v>77</v>
      </c>
      <c r="G2" s="2" t="s">
        <v>78</v>
      </c>
    </row>
    <row r="3" spans="1:7" x14ac:dyDescent="0.25">
      <c r="A3" s="2" t="s">
        <v>79</v>
      </c>
    </row>
    <row r="4" spans="1:7" x14ac:dyDescent="0.25">
      <c r="A4" s="3" t="s">
        <v>80</v>
      </c>
      <c r="B4" s="3"/>
      <c r="F4" s="3" t="s">
        <v>81</v>
      </c>
      <c r="G4" s="3">
        <f>Decisions!B4:B21</f>
        <v>0</v>
      </c>
    </row>
    <row r="5" spans="1:7" x14ac:dyDescent="0.25">
      <c r="A5" s="3" t="s">
        <v>82</v>
      </c>
      <c r="B5" s="3"/>
      <c r="F5" s="3" t="s">
        <v>83</v>
      </c>
      <c r="G5" s="3" t="e">
        <f>Decisions!B24:B41</f>
        <v>#VALUE!</v>
      </c>
    </row>
    <row r="6" spans="1:7" x14ac:dyDescent="0.25">
      <c r="A6" s="3" t="s">
        <v>84</v>
      </c>
      <c r="B6" s="3"/>
      <c r="F6" s="3" t="s">
        <v>85</v>
      </c>
      <c r="G6" s="3" t="e">
        <f>Decisions!B44:B49</f>
        <v>#VALUE!</v>
      </c>
    </row>
    <row r="7" spans="1:7" x14ac:dyDescent="0.25">
      <c r="A7" s="3" t="s">
        <v>86</v>
      </c>
      <c r="B7" s="3"/>
      <c r="F7" s="3" t="s">
        <v>87</v>
      </c>
      <c r="G7" s="3" t="e">
        <f>Decisions!B52:B57</f>
        <v>#VALUE!</v>
      </c>
    </row>
    <row r="8" spans="1:7" x14ac:dyDescent="0.25">
      <c r="A8" s="3" t="s">
        <v>88</v>
      </c>
      <c r="B8" s="3"/>
      <c r="F8" s="3" t="s">
        <v>89</v>
      </c>
      <c r="G8" s="3" t="e">
        <f>Decisions!B60:B149</f>
        <v>#VALUE!</v>
      </c>
    </row>
    <row r="9" spans="1:7" x14ac:dyDescent="0.25">
      <c r="A9" s="3" t="s">
        <v>90</v>
      </c>
      <c r="B9" s="3"/>
      <c r="F9" s="3" t="s">
        <v>91</v>
      </c>
      <c r="G9" s="3" t="e">
        <f>Decisions!B152:B166</f>
        <v>#VALUE!</v>
      </c>
    </row>
    <row r="10" spans="1:7" x14ac:dyDescent="0.25">
      <c r="A10" s="3" t="s">
        <v>92</v>
      </c>
      <c r="B10" s="3"/>
      <c r="F10" s="3" t="s">
        <v>93</v>
      </c>
      <c r="G10" s="3" t="e">
        <f>Decisions!B169:B198</f>
        <v>#VALUE!</v>
      </c>
    </row>
    <row r="11" spans="1:7" x14ac:dyDescent="0.25">
      <c r="A11" s="3" t="s">
        <v>94</v>
      </c>
      <c r="B11" s="3"/>
    </row>
    <row r="12" spans="1:7" x14ac:dyDescent="0.25">
      <c r="A12" s="3" t="s">
        <v>95</v>
      </c>
      <c r="B12" s="3"/>
    </row>
    <row r="13" spans="1:7" x14ac:dyDescent="0.25">
      <c r="A13" s="3" t="s">
        <v>96</v>
      </c>
      <c r="B13" s="3"/>
    </row>
    <row r="14" spans="1:7" x14ac:dyDescent="0.25">
      <c r="A14" s="3" t="s">
        <v>97</v>
      </c>
      <c r="B14" s="3"/>
    </row>
    <row r="15" spans="1:7" x14ac:dyDescent="0.25">
      <c r="A15" s="3" t="s">
        <v>98</v>
      </c>
      <c r="B15" s="3"/>
    </row>
    <row r="16" spans="1:7" x14ac:dyDescent="0.25">
      <c r="A16" s="3" t="s">
        <v>99</v>
      </c>
      <c r="B16" s="3"/>
    </row>
    <row r="17" spans="1:2" x14ac:dyDescent="0.25">
      <c r="A17" s="3" t="s">
        <v>100</v>
      </c>
      <c r="B17" s="3"/>
    </row>
    <row r="18" spans="1:2" x14ac:dyDescent="0.25">
      <c r="A18" s="3" t="s">
        <v>101</v>
      </c>
      <c r="B18" s="3"/>
    </row>
    <row r="19" spans="1:2" x14ac:dyDescent="0.25">
      <c r="A19" s="3" t="s">
        <v>102</v>
      </c>
      <c r="B19" s="3"/>
    </row>
    <row r="20" spans="1:2" x14ac:dyDescent="0.25">
      <c r="A20" s="3" t="s">
        <v>103</v>
      </c>
      <c r="B20" s="3"/>
    </row>
    <row r="21" spans="1:2" x14ac:dyDescent="0.25">
      <c r="A21" s="3" t="s">
        <v>104</v>
      </c>
      <c r="B21" s="3"/>
    </row>
    <row r="23" spans="1:2" x14ac:dyDescent="0.25">
      <c r="A23" s="2" t="s">
        <v>105</v>
      </c>
    </row>
    <row r="24" spans="1:2" x14ac:dyDescent="0.25">
      <c r="A24" s="3" t="s">
        <v>80</v>
      </c>
      <c r="B24" s="3"/>
    </row>
    <row r="25" spans="1:2" x14ac:dyDescent="0.25">
      <c r="A25" s="3" t="s">
        <v>82</v>
      </c>
      <c r="B25" s="3"/>
    </row>
    <row r="26" spans="1:2" x14ac:dyDescent="0.25">
      <c r="A26" s="3" t="s">
        <v>84</v>
      </c>
      <c r="B26" s="3"/>
    </row>
    <row r="27" spans="1:2" x14ac:dyDescent="0.25">
      <c r="A27" s="3" t="s">
        <v>86</v>
      </c>
      <c r="B27" s="3"/>
    </row>
    <row r="28" spans="1:2" x14ac:dyDescent="0.25">
      <c r="A28" s="3" t="s">
        <v>88</v>
      </c>
      <c r="B28" s="3"/>
    </row>
    <row r="29" spans="1:2" x14ac:dyDescent="0.25">
      <c r="A29" s="3" t="s">
        <v>90</v>
      </c>
      <c r="B29" s="3"/>
    </row>
    <row r="30" spans="1:2" x14ac:dyDescent="0.25">
      <c r="A30" s="3" t="s">
        <v>92</v>
      </c>
      <c r="B30" s="3"/>
    </row>
    <row r="31" spans="1:2" x14ac:dyDescent="0.25">
      <c r="A31" s="3" t="s">
        <v>94</v>
      </c>
      <c r="B31" s="3"/>
    </row>
    <row r="32" spans="1:2" x14ac:dyDescent="0.25">
      <c r="A32" s="3" t="s">
        <v>95</v>
      </c>
      <c r="B32" s="3"/>
    </row>
    <row r="33" spans="1:2" x14ac:dyDescent="0.25">
      <c r="A33" s="3" t="s">
        <v>96</v>
      </c>
      <c r="B33" s="3"/>
    </row>
    <row r="34" spans="1:2" x14ac:dyDescent="0.25">
      <c r="A34" s="3" t="s">
        <v>97</v>
      </c>
      <c r="B34" s="3"/>
    </row>
    <row r="35" spans="1:2" x14ac:dyDescent="0.25">
      <c r="A35" s="3" t="s">
        <v>98</v>
      </c>
      <c r="B35" s="3"/>
    </row>
    <row r="36" spans="1:2" x14ac:dyDescent="0.25">
      <c r="A36" s="3" t="s">
        <v>99</v>
      </c>
      <c r="B36" s="3"/>
    </row>
    <row r="37" spans="1:2" x14ac:dyDescent="0.25">
      <c r="A37" s="3" t="s">
        <v>100</v>
      </c>
      <c r="B37" s="3"/>
    </row>
    <row r="38" spans="1:2" x14ac:dyDescent="0.25">
      <c r="A38" s="3" t="s">
        <v>101</v>
      </c>
      <c r="B38" s="3"/>
    </row>
    <row r="39" spans="1:2" x14ac:dyDescent="0.25">
      <c r="A39" s="3" t="s">
        <v>102</v>
      </c>
      <c r="B39" s="3"/>
    </row>
    <row r="40" spans="1:2" x14ac:dyDescent="0.25">
      <c r="A40" s="3" t="s">
        <v>103</v>
      </c>
      <c r="B40" s="3"/>
    </row>
    <row r="41" spans="1:2" x14ac:dyDescent="0.25">
      <c r="A41" s="3" t="s">
        <v>104</v>
      </c>
      <c r="B41" s="3"/>
    </row>
    <row r="43" spans="1:2" x14ac:dyDescent="0.25">
      <c r="A43" s="2" t="s">
        <v>106</v>
      </c>
    </row>
    <row r="44" spans="1:2" x14ac:dyDescent="0.25">
      <c r="A44" s="3" t="s">
        <v>55</v>
      </c>
      <c r="B44" s="3"/>
    </row>
    <row r="45" spans="1:2" x14ac:dyDescent="0.25">
      <c r="A45" s="3" t="s">
        <v>56</v>
      </c>
      <c r="B45" s="3"/>
    </row>
    <row r="46" spans="1:2" x14ac:dyDescent="0.25">
      <c r="A46" s="3" t="s">
        <v>57</v>
      </c>
      <c r="B46" s="3"/>
    </row>
    <row r="47" spans="1:2" x14ac:dyDescent="0.25">
      <c r="A47" s="3" t="s">
        <v>58</v>
      </c>
      <c r="B47" s="3"/>
    </row>
    <row r="48" spans="1:2" x14ac:dyDescent="0.25">
      <c r="A48" s="3" t="s">
        <v>59</v>
      </c>
      <c r="B48" s="3"/>
    </row>
    <row r="49" spans="1:2" x14ac:dyDescent="0.25">
      <c r="A49" s="3" t="s">
        <v>60</v>
      </c>
      <c r="B49" s="3"/>
    </row>
    <row r="51" spans="1:2" x14ac:dyDescent="0.25">
      <c r="A51" s="2" t="s">
        <v>107</v>
      </c>
    </row>
    <row r="52" spans="1:2" x14ac:dyDescent="0.25">
      <c r="A52" s="3" t="s">
        <v>55</v>
      </c>
      <c r="B52" s="3"/>
    </row>
    <row r="53" spans="1:2" x14ac:dyDescent="0.25">
      <c r="A53" s="3" t="s">
        <v>56</v>
      </c>
      <c r="B53" s="3"/>
    </row>
    <row r="54" spans="1:2" x14ac:dyDescent="0.25">
      <c r="A54" s="3" t="s">
        <v>57</v>
      </c>
      <c r="B54" s="3"/>
    </row>
    <row r="55" spans="1:2" x14ac:dyDescent="0.25">
      <c r="A55" s="3" t="s">
        <v>58</v>
      </c>
      <c r="B55" s="3"/>
    </row>
    <row r="56" spans="1:2" x14ac:dyDescent="0.25">
      <c r="A56" s="3" t="s">
        <v>59</v>
      </c>
      <c r="B56" s="3"/>
    </row>
    <row r="57" spans="1:2" x14ac:dyDescent="0.25">
      <c r="A57" s="3" t="s">
        <v>60</v>
      </c>
      <c r="B57" s="3"/>
    </row>
    <row r="59" spans="1:2" x14ac:dyDescent="0.25">
      <c r="A59" s="2" t="s">
        <v>108</v>
      </c>
    </row>
    <row r="60" spans="1:2" x14ac:dyDescent="0.25">
      <c r="A60" s="3" t="s">
        <v>109</v>
      </c>
      <c r="B60" s="3"/>
    </row>
    <row r="61" spans="1:2" x14ac:dyDescent="0.25">
      <c r="A61" s="3" t="s">
        <v>110</v>
      </c>
      <c r="B61" s="3"/>
    </row>
    <row r="62" spans="1:2" x14ac:dyDescent="0.25">
      <c r="A62" s="3" t="s">
        <v>111</v>
      </c>
      <c r="B62" s="3"/>
    </row>
    <row r="63" spans="1:2" x14ac:dyDescent="0.25">
      <c r="A63" s="3" t="s">
        <v>112</v>
      </c>
      <c r="B63" s="3"/>
    </row>
    <row r="64" spans="1:2" x14ac:dyDescent="0.25">
      <c r="A64" s="3" t="s">
        <v>113</v>
      </c>
      <c r="B64" s="3"/>
    </row>
    <row r="65" spans="1:2" x14ac:dyDescent="0.25">
      <c r="A65" s="3" t="s">
        <v>114</v>
      </c>
      <c r="B65" s="3"/>
    </row>
    <row r="66" spans="1:2" x14ac:dyDescent="0.25">
      <c r="A66" s="3" t="s">
        <v>115</v>
      </c>
      <c r="B66" s="3"/>
    </row>
    <row r="67" spans="1:2" x14ac:dyDescent="0.25">
      <c r="A67" s="3" t="s">
        <v>116</v>
      </c>
      <c r="B67" s="3"/>
    </row>
    <row r="68" spans="1:2" x14ac:dyDescent="0.25">
      <c r="A68" s="3" t="s">
        <v>117</v>
      </c>
      <c r="B68" s="3"/>
    </row>
    <row r="69" spans="1:2" x14ac:dyDescent="0.25">
      <c r="A69" s="3" t="s">
        <v>118</v>
      </c>
      <c r="B69" s="3"/>
    </row>
    <row r="70" spans="1:2" x14ac:dyDescent="0.25">
      <c r="A70" s="3" t="s">
        <v>119</v>
      </c>
      <c r="B70" s="3"/>
    </row>
    <row r="71" spans="1:2" x14ac:dyDescent="0.25">
      <c r="A71" s="3" t="s">
        <v>120</v>
      </c>
      <c r="B71" s="3"/>
    </row>
    <row r="72" spans="1:2" x14ac:dyDescent="0.25">
      <c r="A72" s="3" t="s">
        <v>121</v>
      </c>
      <c r="B72" s="3"/>
    </row>
    <row r="73" spans="1:2" x14ac:dyDescent="0.25">
      <c r="A73" s="3" t="s">
        <v>122</v>
      </c>
      <c r="B73" s="3"/>
    </row>
    <row r="74" spans="1:2" x14ac:dyDescent="0.25">
      <c r="A74" s="3" t="s">
        <v>123</v>
      </c>
      <c r="B74" s="3"/>
    </row>
    <row r="75" spans="1:2" x14ac:dyDescent="0.25">
      <c r="A75" s="3" t="s">
        <v>124</v>
      </c>
      <c r="B75" s="3"/>
    </row>
    <row r="76" spans="1:2" x14ac:dyDescent="0.25">
      <c r="A76" s="3" t="s">
        <v>125</v>
      </c>
      <c r="B76" s="3"/>
    </row>
    <row r="77" spans="1:2" x14ac:dyDescent="0.25">
      <c r="A77" s="3" t="s">
        <v>126</v>
      </c>
      <c r="B77" s="3"/>
    </row>
    <row r="78" spans="1:2" x14ac:dyDescent="0.25">
      <c r="A78" s="3" t="s">
        <v>127</v>
      </c>
      <c r="B78" s="3"/>
    </row>
    <row r="79" spans="1:2" x14ac:dyDescent="0.25">
      <c r="A79" s="3" t="s">
        <v>128</v>
      </c>
      <c r="B79" s="3"/>
    </row>
    <row r="80" spans="1:2" x14ac:dyDescent="0.25">
      <c r="A80" s="3" t="s">
        <v>129</v>
      </c>
      <c r="B80" s="3"/>
    </row>
    <row r="81" spans="1:2" x14ac:dyDescent="0.25">
      <c r="A81" s="3" t="s">
        <v>130</v>
      </c>
      <c r="B81" s="3"/>
    </row>
    <row r="82" spans="1:2" x14ac:dyDescent="0.25">
      <c r="A82" s="3" t="s">
        <v>131</v>
      </c>
      <c r="B82" s="3"/>
    </row>
    <row r="83" spans="1:2" x14ac:dyDescent="0.25">
      <c r="A83" s="3" t="s">
        <v>132</v>
      </c>
      <c r="B83" s="3"/>
    </row>
    <row r="84" spans="1:2" x14ac:dyDescent="0.25">
      <c r="A84" s="3" t="s">
        <v>133</v>
      </c>
      <c r="B84" s="3"/>
    </row>
    <row r="85" spans="1:2" x14ac:dyDescent="0.25">
      <c r="A85" s="3" t="s">
        <v>134</v>
      </c>
      <c r="B85" s="3"/>
    </row>
    <row r="86" spans="1:2" x14ac:dyDescent="0.25">
      <c r="A86" s="3" t="s">
        <v>135</v>
      </c>
      <c r="B86" s="3"/>
    </row>
    <row r="87" spans="1:2" x14ac:dyDescent="0.25">
      <c r="A87" s="3" t="s">
        <v>136</v>
      </c>
      <c r="B87" s="3"/>
    </row>
    <row r="88" spans="1:2" x14ac:dyDescent="0.25">
      <c r="A88" s="3" t="s">
        <v>137</v>
      </c>
      <c r="B88" s="3"/>
    </row>
    <row r="89" spans="1:2" x14ac:dyDescent="0.25">
      <c r="A89" s="3" t="s">
        <v>138</v>
      </c>
      <c r="B89" s="3"/>
    </row>
    <row r="90" spans="1:2" x14ac:dyDescent="0.25">
      <c r="A90" s="3" t="s">
        <v>139</v>
      </c>
      <c r="B90" s="3"/>
    </row>
    <row r="91" spans="1:2" x14ac:dyDescent="0.25">
      <c r="A91" s="3" t="s">
        <v>140</v>
      </c>
      <c r="B91" s="3"/>
    </row>
    <row r="92" spans="1:2" x14ac:dyDescent="0.25">
      <c r="A92" s="3" t="s">
        <v>141</v>
      </c>
      <c r="B92" s="3"/>
    </row>
    <row r="93" spans="1:2" x14ac:dyDescent="0.25">
      <c r="A93" s="3" t="s">
        <v>142</v>
      </c>
      <c r="B93" s="3"/>
    </row>
    <row r="94" spans="1:2" x14ac:dyDescent="0.25">
      <c r="A94" s="3" t="s">
        <v>143</v>
      </c>
      <c r="B94" s="3"/>
    </row>
    <row r="95" spans="1:2" x14ac:dyDescent="0.25">
      <c r="A95" s="3" t="s">
        <v>144</v>
      </c>
      <c r="B95" s="3"/>
    </row>
    <row r="96" spans="1:2" x14ac:dyDescent="0.25">
      <c r="A96" s="3" t="s">
        <v>145</v>
      </c>
      <c r="B96" s="3"/>
    </row>
    <row r="97" spans="1:2" x14ac:dyDescent="0.25">
      <c r="A97" s="3" t="s">
        <v>146</v>
      </c>
      <c r="B97" s="3"/>
    </row>
    <row r="98" spans="1:2" x14ac:dyDescent="0.25">
      <c r="A98" s="3" t="s">
        <v>147</v>
      </c>
      <c r="B98" s="3"/>
    </row>
    <row r="99" spans="1:2" x14ac:dyDescent="0.25">
      <c r="A99" s="3" t="s">
        <v>148</v>
      </c>
      <c r="B99" s="3"/>
    </row>
    <row r="100" spans="1:2" x14ac:dyDescent="0.25">
      <c r="A100" s="3" t="s">
        <v>149</v>
      </c>
      <c r="B100" s="3"/>
    </row>
    <row r="101" spans="1:2" x14ac:dyDescent="0.25">
      <c r="A101" s="3" t="s">
        <v>150</v>
      </c>
      <c r="B101" s="3"/>
    </row>
    <row r="102" spans="1:2" x14ac:dyDescent="0.25">
      <c r="A102" s="3" t="s">
        <v>151</v>
      </c>
      <c r="B102" s="3"/>
    </row>
    <row r="103" spans="1:2" x14ac:dyDescent="0.25">
      <c r="A103" s="3" t="s">
        <v>152</v>
      </c>
      <c r="B103" s="3"/>
    </row>
    <row r="104" spans="1:2" x14ac:dyDescent="0.25">
      <c r="A104" s="3" t="s">
        <v>153</v>
      </c>
      <c r="B104" s="3"/>
    </row>
    <row r="105" spans="1:2" x14ac:dyDescent="0.25">
      <c r="A105" s="3" t="s">
        <v>154</v>
      </c>
      <c r="B105" s="3"/>
    </row>
    <row r="106" spans="1:2" x14ac:dyDescent="0.25">
      <c r="A106" s="3" t="s">
        <v>155</v>
      </c>
      <c r="B106" s="3"/>
    </row>
    <row r="107" spans="1:2" x14ac:dyDescent="0.25">
      <c r="A107" s="3" t="s">
        <v>156</v>
      </c>
      <c r="B107" s="3"/>
    </row>
    <row r="108" spans="1:2" x14ac:dyDescent="0.25">
      <c r="A108" s="3" t="s">
        <v>157</v>
      </c>
      <c r="B108" s="3"/>
    </row>
    <row r="109" spans="1:2" x14ac:dyDescent="0.25">
      <c r="A109" s="3" t="s">
        <v>158</v>
      </c>
      <c r="B109" s="3"/>
    </row>
    <row r="110" spans="1:2" x14ac:dyDescent="0.25">
      <c r="A110" s="3" t="s">
        <v>159</v>
      </c>
      <c r="B110" s="3"/>
    </row>
    <row r="111" spans="1:2" x14ac:dyDescent="0.25">
      <c r="A111" s="3" t="s">
        <v>160</v>
      </c>
      <c r="B111" s="3"/>
    </row>
    <row r="112" spans="1:2" x14ac:dyDescent="0.25">
      <c r="A112" s="3" t="s">
        <v>161</v>
      </c>
      <c r="B112" s="3"/>
    </row>
    <row r="113" spans="1:2" x14ac:dyDescent="0.25">
      <c r="A113" s="3" t="s">
        <v>162</v>
      </c>
      <c r="B113" s="3"/>
    </row>
    <row r="114" spans="1:2" x14ac:dyDescent="0.25">
      <c r="A114" s="3" t="s">
        <v>163</v>
      </c>
      <c r="B114" s="3"/>
    </row>
    <row r="115" spans="1:2" x14ac:dyDescent="0.25">
      <c r="A115" s="3" t="s">
        <v>164</v>
      </c>
      <c r="B115" s="3"/>
    </row>
    <row r="116" spans="1:2" x14ac:dyDescent="0.25">
      <c r="A116" s="3" t="s">
        <v>165</v>
      </c>
      <c r="B116" s="3"/>
    </row>
    <row r="117" spans="1:2" x14ac:dyDescent="0.25">
      <c r="A117" s="3" t="s">
        <v>166</v>
      </c>
      <c r="B117" s="3"/>
    </row>
    <row r="118" spans="1:2" x14ac:dyDescent="0.25">
      <c r="A118" s="3" t="s">
        <v>167</v>
      </c>
      <c r="B118" s="3"/>
    </row>
    <row r="119" spans="1:2" x14ac:dyDescent="0.25">
      <c r="A119" s="3" t="s">
        <v>168</v>
      </c>
      <c r="B119" s="3"/>
    </row>
    <row r="120" spans="1:2" x14ac:dyDescent="0.25">
      <c r="A120" s="3" t="s">
        <v>169</v>
      </c>
      <c r="B120" s="3"/>
    </row>
    <row r="121" spans="1:2" x14ac:dyDescent="0.25">
      <c r="A121" s="3" t="s">
        <v>170</v>
      </c>
      <c r="B121" s="3"/>
    </row>
    <row r="122" spans="1:2" x14ac:dyDescent="0.25">
      <c r="A122" s="3" t="s">
        <v>171</v>
      </c>
      <c r="B122" s="3"/>
    </row>
    <row r="123" spans="1:2" x14ac:dyDescent="0.25">
      <c r="A123" s="3" t="s">
        <v>172</v>
      </c>
      <c r="B123" s="3"/>
    </row>
    <row r="124" spans="1:2" x14ac:dyDescent="0.25">
      <c r="A124" s="3" t="s">
        <v>173</v>
      </c>
      <c r="B124" s="3"/>
    </row>
    <row r="125" spans="1:2" x14ac:dyDescent="0.25">
      <c r="A125" s="3" t="s">
        <v>174</v>
      </c>
      <c r="B125" s="3"/>
    </row>
    <row r="126" spans="1:2" x14ac:dyDescent="0.25">
      <c r="A126" s="3" t="s">
        <v>175</v>
      </c>
      <c r="B126" s="3"/>
    </row>
    <row r="127" spans="1:2" x14ac:dyDescent="0.25">
      <c r="A127" s="3" t="s">
        <v>176</v>
      </c>
      <c r="B127" s="3"/>
    </row>
    <row r="128" spans="1:2" x14ac:dyDescent="0.25">
      <c r="A128" s="3" t="s">
        <v>177</v>
      </c>
      <c r="B128" s="3"/>
    </row>
    <row r="129" spans="1:2" x14ac:dyDescent="0.25">
      <c r="A129" s="3" t="s">
        <v>178</v>
      </c>
      <c r="B129" s="3"/>
    </row>
    <row r="130" spans="1:2" x14ac:dyDescent="0.25">
      <c r="A130" s="3" t="s">
        <v>179</v>
      </c>
      <c r="B130" s="3"/>
    </row>
    <row r="131" spans="1:2" x14ac:dyDescent="0.25">
      <c r="A131" s="3" t="s">
        <v>180</v>
      </c>
      <c r="B131" s="3"/>
    </row>
    <row r="132" spans="1:2" x14ac:dyDescent="0.25">
      <c r="A132" s="3" t="s">
        <v>181</v>
      </c>
      <c r="B132" s="3"/>
    </row>
    <row r="133" spans="1:2" x14ac:dyDescent="0.25">
      <c r="A133" s="3" t="s">
        <v>182</v>
      </c>
      <c r="B133" s="3"/>
    </row>
    <row r="134" spans="1:2" x14ac:dyDescent="0.25">
      <c r="A134" s="3" t="s">
        <v>183</v>
      </c>
      <c r="B134" s="3"/>
    </row>
    <row r="135" spans="1:2" x14ac:dyDescent="0.25">
      <c r="A135" s="3" t="s">
        <v>184</v>
      </c>
      <c r="B135" s="3"/>
    </row>
    <row r="136" spans="1:2" x14ac:dyDescent="0.25">
      <c r="A136" s="3" t="s">
        <v>185</v>
      </c>
      <c r="B136" s="3"/>
    </row>
    <row r="137" spans="1:2" x14ac:dyDescent="0.25">
      <c r="A137" s="3" t="s">
        <v>186</v>
      </c>
      <c r="B137" s="3"/>
    </row>
    <row r="138" spans="1:2" x14ac:dyDescent="0.25">
      <c r="A138" s="3" t="s">
        <v>187</v>
      </c>
      <c r="B138" s="3"/>
    </row>
    <row r="139" spans="1:2" x14ac:dyDescent="0.25">
      <c r="A139" s="3" t="s">
        <v>188</v>
      </c>
      <c r="B139" s="3"/>
    </row>
    <row r="140" spans="1:2" x14ac:dyDescent="0.25">
      <c r="A140" s="3" t="s">
        <v>189</v>
      </c>
      <c r="B140" s="3"/>
    </row>
    <row r="141" spans="1:2" x14ac:dyDescent="0.25">
      <c r="A141" s="3" t="s">
        <v>190</v>
      </c>
      <c r="B141" s="3"/>
    </row>
    <row r="142" spans="1:2" x14ac:dyDescent="0.25">
      <c r="A142" s="3" t="s">
        <v>191</v>
      </c>
      <c r="B142" s="3"/>
    </row>
    <row r="143" spans="1:2" x14ac:dyDescent="0.25">
      <c r="A143" s="3" t="s">
        <v>192</v>
      </c>
      <c r="B143" s="3"/>
    </row>
    <row r="144" spans="1:2" x14ac:dyDescent="0.25">
      <c r="A144" s="3" t="s">
        <v>193</v>
      </c>
      <c r="B144" s="3"/>
    </row>
    <row r="145" spans="1:2" x14ac:dyDescent="0.25">
      <c r="A145" s="3" t="s">
        <v>194</v>
      </c>
      <c r="B145" s="3"/>
    </row>
    <row r="146" spans="1:2" x14ac:dyDescent="0.25">
      <c r="A146" s="3" t="s">
        <v>195</v>
      </c>
      <c r="B146" s="3"/>
    </row>
    <row r="147" spans="1:2" x14ac:dyDescent="0.25">
      <c r="A147" s="3" t="s">
        <v>196</v>
      </c>
      <c r="B147" s="3"/>
    </row>
    <row r="148" spans="1:2" x14ac:dyDescent="0.25">
      <c r="A148" s="3" t="s">
        <v>197</v>
      </c>
      <c r="B148" s="3"/>
    </row>
    <row r="149" spans="1:2" x14ac:dyDescent="0.25">
      <c r="A149" s="3" t="s">
        <v>198</v>
      </c>
      <c r="B149" s="3"/>
    </row>
    <row r="151" spans="1:2" x14ac:dyDescent="0.25">
      <c r="A151" s="2" t="s">
        <v>199</v>
      </c>
    </row>
    <row r="152" spans="1:2" x14ac:dyDescent="0.25">
      <c r="A152" s="3" t="s">
        <v>200</v>
      </c>
      <c r="B152" s="3"/>
    </row>
    <row r="153" spans="1:2" x14ac:dyDescent="0.25">
      <c r="A153" s="3" t="s">
        <v>201</v>
      </c>
      <c r="B153" s="3"/>
    </row>
    <row r="154" spans="1:2" x14ac:dyDescent="0.25">
      <c r="A154" s="3" t="s">
        <v>202</v>
      </c>
      <c r="B154" s="3"/>
    </row>
    <row r="155" spans="1:2" x14ac:dyDescent="0.25">
      <c r="A155" s="3" t="s">
        <v>203</v>
      </c>
      <c r="B155" s="3"/>
    </row>
    <row r="156" spans="1:2" x14ac:dyDescent="0.25">
      <c r="A156" s="3" t="s">
        <v>204</v>
      </c>
      <c r="B156" s="3"/>
    </row>
    <row r="157" spans="1:2" x14ac:dyDescent="0.25">
      <c r="A157" s="3" t="s">
        <v>205</v>
      </c>
      <c r="B157" s="3"/>
    </row>
    <row r="158" spans="1:2" x14ac:dyDescent="0.25">
      <c r="A158" s="3" t="s">
        <v>206</v>
      </c>
      <c r="B158" s="3"/>
    </row>
    <row r="159" spans="1:2" x14ac:dyDescent="0.25">
      <c r="A159" s="3" t="s">
        <v>207</v>
      </c>
      <c r="B159" s="3"/>
    </row>
    <row r="160" spans="1:2" x14ac:dyDescent="0.25">
      <c r="A160" s="3" t="s">
        <v>208</v>
      </c>
      <c r="B160" s="3"/>
    </row>
    <row r="161" spans="1:2" x14ac:dyDescent="0.25">
      <c r="A161" s="3" t="s">
        <v>209</v>
      </c>
      <c r="B161" s="3"/>
    </row>
    <row r="162" spans="1:2" x14ac:dyDescent="0.25">
      <c r="A162" s="3" t="s">
        <v>210</v>
      </c>
      <c r="B162" s="3"/>
    </row>
    <row r="163" spans="1:2" x14ac:dyDescent="0.25">
      <c r="A163" s="3" t="s">
        <v>211</v>
      </c>
      <c r="B163" s="3"/>
    </row>
    <row r="164" spans="1:2" x14ac:dyDescent="0.25">
      <c r="A164" s="3" t="s">
        <v>212</v>
      </c>
      <c r="B164" s="3"/>
    </row>
    <row r="165" spans="1:2" x14ac:dyDescent="0.25">
      <c r="A165" s="3" t="s">
        <v>213</v>
      </c>
      <c r="B165" s="3"/>
    </row>
    <row r="166" spans="1:2" x14ac:dyDescent="0.25">
      <c r="A166" s="3" t="s">
        <v>214</v>
      </c>
      <c r="B166" s="3"/>
    </row>
    <row r="168" spans="1:2" x14ac:dyDescent="0.25">
      <c r="A168" s="2" t="s">
        <v>215</v>
      </c>
    </row>
    <row r="169" spans="1:2" x14ac:dyDescent="0.25">
      <c r="A169" s="3" t="s">
        <v>216</v>
      </c>
      <c r="B169" s="3"/>
    </row>
    <row r="170" spans="1:2" x14ac:dyDescent="0.25">
      <c r="A170" s="3" t="s">
        <v>217</v>
      </c>
      <c r="B170" s="3"/>
    </row>
    <row r="171" spans="1:2" x14ac:dyDescent="0.25">
      <c r="A171" s="3" t="s">
        <v>218</v>
      </c>
      <c r="B171" s="3"/>
    </row>
    <row r="172" spans="1:2" x14ac:dyDescent="0.25">
      <c r="A172" s="3" t="s">
        <v>219</v>
      </c>
      <c r="B172" s="3"/>
    </row>
    <row r="173" spans="1:2" x14ac:dyDescent="0.25">
      <c r="A173" s="3" t="s">
        <v>220</v>
      </c>
      <c r="B173" s="3"/>
    </row>
    <row r="174" spans="1:2" x14ac:dyDescent="0.25">
      <c r="A174" s="3" t="s">
        <v>221</v>
      </c>
      <c r="B174" s="3"/>
    </row>
    <row r="175" spans="1:2" x14ac:dyDescent="0.25">
      <c r="A175" s="3" t="s">
        <v>222</v>
      </c>
      <c r="B175" s="3"/>
    </row>
    <row r="176" spans="1:2" x14ac:dyDescent="0.25">
      <c r="A176" s="3" t="s">
        <v>223</v>
      </c>
      <c r="B176" s="3"/>
    </row>
    <row r="177" spans="1:2" x14ac:dyDescent="0.25">
      <c r="A177" s="3" t="s">
        <v>224</v>
      </c>
      <c r="B177" s="3"/>
    </row>
    <row r="178" spans="1:2" x14ac:dyDescent="0.25">
      <c r="A178" s="3" t="s">
        <v>225</v>
      </c>
      <c r="B178" s="3"/>
    </row>
    <row r="179" spans="1:2" x14ac:dyDescent="0.25">
      <c r="A179" s="3" t="s">
        <v>226</v>
      </c>
      <c r="B179" s="3"/>
    </row>
    <row r="180" spans="1:2" x14ac:dyDescent="0.25">
      <c r="A180" s="3" t="s">
        <v>227</v>
      </c>
      <c r="B180" s="3"/>
    </row>
    <row r="181" spans="1:2" x14ac:dyDescent="0.25">
      <c r="A181" s="3" t="s">
        <v>228</v>
      </c>
      <c r="B181" s="3"/>
    </row>
    <row r="182" spans="1:2" x14ac:dyDescent="0.25">
      <c r="A182" s="3" t="s">
        <v>229</v>
      </c>
      <c r="B182" s="3"/>
    </row>
    <row r="183" spans="1:2" x14ac:dyDescent="0.25">
      <c r="A183" s="3" t="s">
        <v>230</v>
      </c>
      <c r="B183" s="3"/>
    </row>
    <row r="184" spans="1:2" x14ac:dyDescent="0.25">
      <c r="A184" s="3" t="s">
        <v>231</v>
      </c>
      <c r="B184" s="3"/>
    </row>
    <row r="185" spans="1:2" x14ac:dyDescent="0.25">
      <c r="A185" s="3" t="s">
        <v>232</v>
      </c>
      <c r="B185" s="3"/>
    </row>
    <row r="186" spans="1:2" x14ac:dyDescent="0.25">
      <c r="A186" s="3" t="s">
        <v>233</v>
      </c>
      <c r="B186" s="3"/>
    </row>
    <row r="187" spans="1:2" x14ac:dyDescent="0.25">
      <c r="A187" s="3" t="s">
        <v>234</v>
      </c>
      <c r="B187" s="3"/>
    </row>
    <row r="188" spans="1:2" x14ac:dyDescent="0.25">
      <c r="A188" s="3" t="s">
        <v>235</v>
      </c>
      <c r="B188" s="3"/>
    </row>
    <row r="189" spans="1:2" x14ac:dyDescent="0.25">
      <c r="A189" s="3" t="s">
        <v>236</v>
      </c>
      <c r="B189" s="3"/>
    </row>
    <row r="190" spans="1:2" x14ac:dyDescent="0.25">
      <c r="A190" s="3" t="s">
        <v>237</v>
      </c>
      <c r="B190" s="3"/>
    </row>
    <row r="191" spans="1:2" x14ac:dyDescent="0.25">
      <c r="A191" s="3" t="s">
        <v>238</v>
      </c>
      <c r="B191" s="3"/>
    </row>
    <row r="192" spans="1:2" x14ac:dyDescent="0.25">
      <c r="A192" s="3" t="s">
        <v>239</v>
      </c>
      <c r="B192" s="3"/>
    </row>
    <row r="193" spans="1:2" x14ac:dyDescent="0.25">
      <c r="A193" s="3" t="s">
        <v>240</v>
      </c>
      <c r="B193" s="3"/>
    </row>
    <row r="194" spans="1:2" x14ac:dyDescent="0.25">
      <c r="A194" s="3" t="s">
        <v>241</v>
      </c>
      <c r="B194" s="3"/>
    </row>
    <row r="195" spans="1:2" x14ac:dyDescent="0.25">
      <c r="A195" s="3" t="s">
        <v>242</v>
      </c>
      <c r="B195" s="3"/>
    </row>
    <row r="196" spans="1:2" x14ac:dyDescent="0.25">
      <c r="A196" s="3" t="s">
        <v>243</v>
      </c>
      <c r="B196" s="3"/>
    </row>
    <row r="197" spans="1:2" x14ac:dyDescent="0.25">
      <c r="A197" s="3" t="s">
        <v>244</v>
      </c>
      <c r="B197" s="3"/>
    </row>
    <row r="198" spans="1:2" x14ac:dyDescent="0.25">
      <c r="A198" s="3" t="s">
        <v>245</v>
      </c>
      <c r="B19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/>
  </sheetViews>
  <sheetFormatPr defaultRowHeight="15" x14ac:dyDescent="0.25"/>
  <cols>
    <col min="1" max="1" width="24" customWidth="1"/>
    <col min="2" max="2" width="11" customWidth="1"/>
  </cols>
  <sheetData>
    <row r="1" spans="1:7" x14ac:dyDescent="0.25">
      <c r="A1" s="1" t="s">
        <v>246</v>
      </c>
    </row>
    <row r="2" spans="1:7" x14ac:dyDescent="0.25">
      <c r="A2" s="2" t="s">
        <v>29</v>
      </c>
      <c r="B2" s="2" t="s">
        <v>247</v>
      </c>
      <c r="C2" s="2" t="s">
        <v>248</v>
      </c>
      <c r="D2" s="2" t="s">
        <v>249</v>
      </c>
      <c r="E2" s="2" t="s">
        <v>250</v>
      </c>
      <c r="F2" s="2" t="s">
        <v>17</v>
      </c>
      <c r="G2" s="2" t="s">
        <v>18</v>
      </c>
    </row>
    <row r="3" spans="1:7" x14ac:dyDescent="0.25">
      <c r="A3" s="3" t="s">
        <v>31</v>
      </c>
      <c r="B3" s="3">
        <v>45</v>
      </c>
      <c r="C3" s="4">
        <f>Decisions!B4+Decisions!B24+Decisions!B6+Decisions!B26+Decisions!B8+Decisions!B28</f>
        <v>0</v>
      </c>
      <c r="D3" s="4">
        <f>Decisions!B52</f>
        <v>0</v>
      </c>
      <c r="E3" s="4">
        <v>52500</v>
      </c>
      <c r="F3" t="e">
        <f>INDEX(Parameters!$J:$J, MATCH(1, (Parameters!$H:$H="K")*(Parameters!$I:$I=45),0))</f>
        <v>#N/A</v>
      </c>
      <c r="G3" t="e">
        <f>INDEX(Parameters!$K:$K, MATCH(1, (Parameters!$H:$H="K")*(Parameters!$I:$I=45),0))</f>
        <v>#N/A</v>
      </c>
    </row>
    <row r="4" spans="1:7" x14ac:dyDescent="0.25">
      <c r="A4" s="3" t="s">
        <v>31</v>
      </c>
      <c r="B4" s="3">
        <v>46</v>
      </c>
      <c r="C4" s="4">
        <f>Decisions!B5+Decisions!B25+Decisions!B7+Decisions!B27+Decisions!B9+Decisions!B29</f>
        <v>0</v>
      </c>
      <c r="D4" s="4">
        <f>Decisions!B53</f>
        <v>0</v>
      </c>
      <c r="E4" s="4">
        <v>52500</v>
      </c>
      <c r="F4" t="e">
        <f>INDEX(Parameters!$J:$J, MATCH(1, (Parameters!$H:$H="K")*(Parameters!$I:$I=46),0))</f>
        <v>#N/A</v>
      </c>
      <c r="G4" t="e">
        <f>INDEX(Parameters!$K:$K, MATCH(1, (Parameters!$H:$H="K")*(Parameters!$I:$I=46),0))</f>
        <v>#N/A</v>
      </c>
    </row>
    <row r="5" spans="1:7" x14ac:dyDescent="0.25">
      <c r="A5" s="3" t="s">
        <v>32</v>
      </c>
      <c r="B5" s="3">
        <v>45</v>
      </c>
      <c r="C5" s="4">
        <f>Decisions!B10+Decisions!B30+Decisions!B12+Decisions!B32+Decisions!B14+Decisions!B34</f>
        <v>0</v>
      </c>
      <c r="D5" s="4">
        <f>Decisions!B54</f>
        <v>0</v>
      </c>
      <c r="E5" s="4">
        <v>80000</v>
      </c>
      <c r="F5" t="e">
        <f>INDEX(Parameters!$J:$J, MATCH(1, (Parameters!$H:$H="C")*(Parameters!$I:$I=45),0))</f>
        <v>#N/A</v>
      </c>
      <c r="G5" t="e">
        <f>INDEX(Parameters!$K:$K, MATCH(1, (Parameters!$H:$H="C")*(Parameters!$I:$I=45),0))</f>
        <v>#N/A</v>
      </c>
    </row>
    <row r="6" spans="1:7" x14ac:dyDescent="0.25">
      <c r="A6" s="3" t="s">
        <v>32</v>
      </c>
      <c r="B6" s="3">
        <v>46</v>
      </c>
      <c r="C6" s="4">
        <f>Decisions!B11+Decisions!B31+Decisions!B13+Decisions!B33+Decisions!B15+Decisions!B35</f>
        <v>0</v>
      </c>
      <c r="D6" s="4">
        <f>Decisions!B55</f>
        <v>0</v>
      </c>
      <c r="E6" s="4">
        <v>80000</v>
      </c>
      <c r="F6" t="e">
        <f>INDEX(Parameters!$J:$J, MATCH(1, (Parameters!$H:$H="C")*(Parameters!$I:$I=46),0))</f>
        <v>#N/A</v>
      </c>
      <c r="G6" t="e">
        <f>INDEX(Parameters!$K:$K, MATCH(1, (Parameters!$H:$H="C")*(Parameters!$I:$I=46),0))</f>
        <v>#N/A</v>
      </c>
    </row>
    <row r="7" spans="1:7" x14ac:dyDescent="0.25">
      <c r="A7" s="3" t="s">
        <v>33</v>
      </c>
      <c r="B7" s="3">
        <v>45</v>
      </c>
      <c r="C7" s="4">
        <f>Decisions!B16+Decisions!B36+Decisions!B18+Decisions!B38+Decisions!B20+Decisions!B40</f>
        <v>0</v>
      </c>
      <c r="D7" s="4">
        <f>Decisions!B56</f>
        <v>0</v>
      </c>
      <c r="E7" s="4">
        <v>40000</v>
      </c>
      <c r="F7" t="e">
        <f>INDEX(Parameters!$J:$J, MATCH(1, (Parameters!$H:$H="G")*(Parameters!$I:$I=45),0))</f>
        <v>#N/A</v>
      </c>
      <c r="G7" t="e">
        <f>INDEX(Parameters!$K:$K, MATCH(1, (Parameters!$H:$H="G")*(Parameters!$I:$I=45),0))</f>
        <v>#N/A</v>
      </c>
    </row>
    <row r="8" spans="1:7" x14ac:dyDescent="0.25">
      <c r="A8" s="3" t="s">
        <v>33</v>
      </c>
      <c r="B8" s="3">
        <v>46</v>
      </c>
      <c r="C8" s="4">
        <f>Decisions!B17+Decisions!B37+Decisions!B19+Decisions!B39+Decisions!B21+Decisions!B41</f>
        <v>0</v>
      </c>
      <c r="D8" s="4">
        <f>Decisions!B57</f>
        <v>0</v>
      </c>
      <c r="E8" s="4">
        <v>40000</v>
      </c>
      <c r="F8" t="e">
        <f>INDEX(Parameters!$J:$J, MATCH(1, (Parameters!$H:$H="G")*(Parameters!$I:$I=46),0))</f>
        <v>#N/A</v>
      </c>
      <c r="G8" t="e">
        <f>INDEX(Parameters!$K:$K, MATCH(1, (Parameters!$H:$H="G")*(Parameters!$I:$I=46),0))</f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5"/>
  <sheetViews>
    <sheetView workbookViewId="0"/>
  </sheetViews>
  <sheetFormatPr defaultRowHeight="15" x14ac:dyDescent="0.25"/>
  <cols>
    <col min="1" max="1" width="25.7109375" customWidth="1"/>
    <col min="2" max="2" width="23.5703125" bestFit="1" customWidth="1"/>
    <col min="3" max="3" width="14.140625" bestFit="1" customWidth="1"/>
    <col min="4" max="4" width="10.140625" bestFit="1" customWidth="1"/>
  </cols>
  <sheetData>
    <row r="1" spans="1:5" x14ac:dyDescent="0.25">
      <c r="A1" s="1" t="s">
        <v>251</v>
      </c>
    </row>
    <row r="3" spans="1:5" x14ac:dyDescent="0.25">
      <c r="A3" s="1" t="s">
        <v>252</v>
      </c>
    </row>
    <row r="4" spans="1:5" x14ac:dyDescent="0.25">
      <c r="A4" s="2" t="s">
        <v>15</v>
      </c>
      <c r="B4" s="2" t="s">
        <v>253</v>
      </c>
      <c r="C4" s="2" t="s">
        <v>16</v>
      </c>
      <c r="D4" s="2" t="s">
        <v>254</v>
      </c>
      <c r="E4" s="2" t="s">
        <v>255</v>
      </c>
    </row>
    <row r="5" spans="1:5" x14ac:dyDescent="0.25">
      <c r="A5" s="3" t="s">
        <v>21</v>
      </c>
      <c r="B5" s="3" t="s">
        <v>44</v>
      </c>
      <c r="C5" s="3">
        <v>45</v>
      </c>
      <c r="D5" s="4">
        <f>Decisions!B60+Decisions!B78+Decisions!B96+Decisions!B114+Decisions!B132</f>
        <v>0</v>
      </c>
      <c r="E5" s="4">
        <f>Decisions!B4+Decisions!B24</f>
        <v>0</v>
      </c>
    </row>
    <row r="6" spans="1:5" x14ac:dyDescent="0.25">
      <c r="A6" s="3" t="s">
        <v>21</v>
      </c>
      <c r="B6" s="3" t="s">
        <v>44</v>
      </c>
      <c r="C6" s="3">
        <v>46</v>
      </c>
      <c r="D6" s="4">
        <f>Decisions!B63+Decisions!B81+Decisions!B99+Decisions!B117+Decisions!B135</f>
        <v>0</v>
      </c>
      <c r="E6" s="4">
        <f>Decisions!B5+Decisions!B25</f>
        <v>0</v>
      </c>
    </row>
    <row r="7" spans="1:5" x14ac:dyDescent="0.25">
      <c r="A7" s="3" t="s">
        <v>21</v>
      </c>
      <c r="B7" s="3" t="s">
        <v>45</v>
      </c>
      <c r="C7" s="3">
        <v>45</v>
      </c>
      <c r="D7" s="4">
        <f>Decisions!B66+Decisions!B84+Decisions!B102+Decisions!B120+Decisions!B138</f>
        <v>0</v>
      </c>
      <c r="E7" s="4">
        <f>Decisions!B6+Decisions!B26</f>
        <v>0</v>
      </c>
    </row>
    <row r="8" spans="1:5" x14ac:dyDescent="0.25">
      <c r="A8" s="3" t="s">
        <v>21</v>
      </c>
      <c r="B8" s="3" t="s">
        <v>45</v>
      </c>
      <c r="C8" s="3">
        <v>46</v>
      </c>
      <c r="D8" s="4">
        <f>Decisions!B69+Decisions!B87+Decisions!B105+Decisions!B123+Decisions!B141</f>
        <v>0</v>
      </c>
      <c r="E8" s="4">
        <f>Decisions!B7+Decisions!B27</f>
        <v>0</v>
      </c>
    </row>
    <row r="9" spans="1:5" x14ac:dyDescent="0.25">
      <c r="A9" s="3" t="s">
        <v>21</v>
      </c>
      <c r="B9" s="3" t="s">
        <v>46</v>
      </c>
      <c r="C9" s="3">
        <v>45</v>
      </c>
      <c r="D9" s="4">
        <f>Decisions!B72+Decisions!B90+Decisions!B108+Decisions!B126+Decisions!B144</f>
        <v>0</v>
      </c>
      <c r="E9" s="4">
        <f>Decisions!B8+Decisions!B28</f>
        <v>0</v>
      </c>
    </row>
    <row r="10" spans="1:5" x14ac:dyDescent="0.25">
      <c r="A10" s="3" t="s">
        <v>21</v>
      </c>
      <c r="B10" s="3" t="s">
        <v>46</v>
      </c>
      <c r="C10" s="3">
        <v>46</v>
      </c>
      <c r="D10" s="4">
        <f>Decisions!B75+Decisions!B93+Decisions!B111+Decisions!B129+Decisions!B147</f>
        <v>0</v>
      </c>
      <c r="E10" s="4">
        <f>Decisions!B9+Decisions!B29</f>
        <v>0</v>
      </c>
    </row>
    <row r="11" spans="1:5" x14ac:dyDescent="0.25">
      <c r="A11" s="3" t="s">
        <v>26</v>
      </c>
      <c r="B11" s="3" t="s">
        <v>44</v>
      </c>
      <c r="C11" s="3">
        <v>45</v>
      </c>
      <c r="D11" s="4">
        <f>Decisions!B61+Decisions!B79+Decisions!B97+Decisions!B115+Decisions!B133</f>
        <v>0</v>
      </c>
      <c r="E11" s="4">
        <f>Decisions!B10+Decisions!B30</f>
        <v>0</v>
      </c>
    </row>
    <row r="12" spans="1:5" x14ac:dyDescent="0.25">
      <c r="A12" s="3" t="s">
        <v>26</v>
      </c>
      <c r="B12" s="3" t="s">
        <v>44</v>
      </c>
      <c r="C12" s="3">
        <v>46</v>
      </c>
      <c r="D12" s="4">
        <f>Decisions!B64+Decisions!B82+Decisions!B100+Decisions!B118+Decisions!B136</f>
        <v>0</v>
      </c>
      <c r="E12" s="4">
        <f>Decisions!B11+Decisions!B31</f>
        <v>0</v>
      </c>
    </row>
    <row r="13" spans="1:5" x14ac:dyDescent="0.25">
      <c r="A13" s="3" t="s">
        <v>26</v>
      </c>
      <c r="B13" s="3" t="s">
        <v>45</v>
      </c>
      <c r="C13" s="3">
        <v>45</v>
      </c>
      <c r="D13" s="4">
        <f>Decisions!B67+Decisions!B85+Decisions!B103+Decisions!B121+Decisions!B139</f>
        <v>0</v>
      </c>
      <c r="E13" s="4">
        <f>Decisions!B12+Decisions!B32</f>
        <v>0</v>
      </c>
    </row>
    <row r="14" spans="1:5" x14ac:dyDescent="0.25">
      <c r="A14" s="3" t="s">
        <v>26</v>
      </c>
      <c r="B14" s="3" t="s">
        <v>45</v>
      </c>
      <c r="C14" s="3">
        <v>46</v>
      </c>
      <c r="D14" s="4">
        <f>Decisions!B70+Decisions!B88+Decisions!B106+Decisions!B124+Decisions!B142</f>
        <v>0</v>
      </c>
      <c r="E14" s="4">
        <f>Decisions!B13+Decisions!B33</f>
        <v>0</v>
      </c>
    </row>
    <row r="15" spans="1:5" x14ac:dyDescent="0.25">
      <c r="A15" s="3" t="s">
        <v>26</v>
      </c>
      <c r="B15" s="3" t="s">
        <v>46</v>
      </c>
      <c r="C15" s="3">
        <v>45</v>
      </c>
      <c r="D15" s="4">
        <f>Decisions!B73+Decisions!B91+Decisions!B109+Decisions!B127+Decisions!B145</f>
        <v>0</v>
      </c>
      <c r="E15" s="4">
        <f>Decisions!B14+Decisions!B34</f>
        <v>0</v>
      </c>
    </row>
    <row r="16" spans="1:5" x14ac:dyDescent="0.25">
      <c r="A16" s="3" t="s">
        <v>26</v>
      </c>
      <c r="B16" s="3" t="s">
        <v>46</v>
      </c>
      <c r="C16" s="3">
        <v>46</v>
      </c>
      <c r="D16" s="4">
        <f>Decisions!B76+Decisions!B94+Decisions!B112+Decisions!B130+Decisions!B148</f>
        <v>0</v>
      </c>
      <c r="E16" s="4">
        <f>Decisions!B15+Decisions!B35</f>
        <v>0</v>
      </c>
    </row>
    <row r="17" spans="1:5" x14ac:dyDescent="0.25">
      <c r="A17" s="3" t="s">
        <v>27</v>
      </c>
      <c r="B17" s="3" t="s">
        <v>44</v>
      </c>
      <c r="C17" s="3">
        <v>45</v>
      </c>
      <c r="D17" s="4">
        <f>Decisions!B62+Decisions!B80+Decisions!B98+Decisions!B116+Decisions!B134</f>
        <v>0</v>
      </c>
      <c r="E17" s="4">
        <f>Decisions!B16+Decisions!B36</f>
        <v>0</v>
      </c>
    </row>
    <row r="18" spans="1:5" x14ac:dyDescent="0.25">
      <c r="A18" s="3" t="s">
        <v>27</v>
      </c>
      <c r="B18" s="3" t="s">
        <v>44</v>
      </c>
      <c r="C18" s="3">
        <v>46</v>
      </c>
      <c r="D18" s="4">
        <f>Decisions!B65+Decisions!B83+Decisions!B101+Decisions!B119+Decisions!B137</f>
        <v>0</v>
      </c>
      <c r="E18" s="4">
        <f>Decisions!B17+Decisions!B37</f>
        <v>0</v>
      </c>
    </row>
    <row r="19" spans="1:5" x14ac:dyDescent="0.25">
      <c r="A19" s="3" t="s">
        <v>27</v>
      </c>
      <c r="B19" s="3" t="s">
        <v>45</v>
      </c>
      <c r="C19" s="3">
        <v>45</v>
      </c>
      <c r="D19" s="4">
        <f>Decisions!B68+Decisions!B86+Decisions!B104+Decisions!B122+Decisions!B140</f>
        <v>0</v>
      </c>
      <c r="E19" s="4">
        <f>Decisions!B18+Decisions!B38</f>
        <v>0</v>
      </c>
    </row>
    <row r="20" spans="1:5" x14ac:dyDescent="0.25">
      <c r="A20" s="3" t="s">
        <v>27</v>
      </c>
      <c r="B20" s="3" t="s">
        <v>45</v>
      </c>
      <c r="C20" s="3">
        <v>46</v>
      </c>
      <c r="D20" s="4">
        <f>Decisions!B71+Decisions!B89+Decisions!B107+Decisions!B125+Decisions!B143</f>
        <v>0</v>
      </c>
      <c r="E20" s="4">
        <f>Decisions!B19+Decisions!B39</f>
        <v>0</v>
      </c>
    </row>
    <row r="21" spans="1:5" x14ac:dyDescent="0.25">
      <c r="A21" s="3" t="s">
        <v>27</v>
      </c>
      <c r="B21" s="3" t="s">
        <v>46</v>
      </c>
      <c r="C21" s="3">
        <v>45</v>
      </c>
      <c r="D21" s="4">
        <f>Decisions!B74+Decisions!B92+Decisions!B110+Decisions!B128+Decisions!B146</f>
        <v>0</v>
      </c>
      <c r="E21" s="4">
        <f>Decisions!B20+Decisions!B40</f>
        <v>0</v>
      </c>
    </row>
    <row r="22" spans="1:5" x14ac:dyDescent="0.25">
      <c r="A22" s="3" t="s">
        <v>27</v>
      </c>
      <c r="B22" s="3" t="s">
        <v>46</v>
      </c>
      <c r="C22" s="3">
        <v>46</v>
      </c>
      <c r="D22" s="4">
        <f>Decisions!B77+Decisions!B95+Decisions!B113+Decisions!B131+Decisions!B149</f>
        <v>0</v>
      </c>
      <c r="E22" s="4">
        <f>Decisions!B21+Decisions!B41</f>
        <v>0</v>
      </c>
    </row>
    <row r="24" spans="1:5" x14ac:dyDescent="0.25">
      <c r="A24" s="1" t="s">
        <v>256</v>
      </c>
    </row>
    <row r="25" spans="1:5" x14ac:dyDescent="0.25">
      <c r="A25" s="2" t="s">
        <v>257</v>
      </c>
      <c r="B25" s="2" t="s">
        <v>253</v>
      </c>
      <c r="C25" s="2" t="s">
        <v>258</v>
      </c>
      <c r="D25" s="2" t="s">
        <v>254</v>
      </c>
      <c r="E25" s="2" t="s">
        <v>259</v>
      </c>
    </row>
    <row r="26" spans="1:5" x14ac:dyDescent="0.25">
      <c r="A26" s="3" t="s">
        <v>69</v>
      </c>
      <c r="B26" s="3" t="s">
        <v>44</v>
      </c>
      <c r="C26" s="3">
        <f>Demand!$D$3</f>
        <v>45</v>
      </c>
      <c r="D26" s="4">
        <v>0</v>
      </c>
      <c r="E26" s="4">
        <f>Demand!$C$3</f>
        <v>60000</v>
      </c>
    </row>
    <row r="27" spans="1:5" x14ac:dyDescent="0.25">
      <c r="A27" s="3" t="s">
        <v>69</v>
      </c>
      <c r="B27" s="3" t="s">
        <v>45</v>
      </c>
      <c r="C27" s="3">
        <f>Demand!$D$4</f>
        <v>45</v>
      </c>
      <c r="D27" s="4">
        <v>0</v>
      </c>
      <c r="E27" s="4">
        <f>Demand!$C$4</f>
        <v>20000</v>
      </c>
    </row>
    <row r="28" spans="1:5" x14ac:dyDescent="0.25">
      <c r="A28" s="3" t="s">
        <v>69</v>
      </c>
      <c r="B28" s="3" t="s">
        <v>46</v>
      </c>
      <c r="C28" s="3">
        <f>Demand!$D$5</f>
        <v>45</v>
      </c>
      <c r="D28" s="4">
        <v>0</v>
      </c>
      <c r="E28" s="4">
        <f>Demand!$C$5</f>
        <v>18000</v>
      </c>
    </row>
    <row r="29" spans="1:5" x14ac:dyDescent="0.25">
      <c r="A29" s="3" t="s">
        <v>70</v>
      </c>
      <c r="B29" s="3" t="s">
        <v>44</v>
      </c>
      <c r="C29" s="3">
        <f>Demand!$D$6</f>
        <v>45</v>
      </c>
      <c r="D29" s="4">
        <v>0</v>
      </c>
      <c r="E29" s="4">
        <f>Demand!$C$6</f>
        <v>10000</v>
      </c>
    </row>
    <row r="30" spans="1:5" x14ac:dyDescent="0.25">
      <c r="A30" s="3" t="s">
        <v>70</v>
      </c>
      <c r="B30" s="3" t="s">
        <v>45</v>
      </c>
      <c r="C30" s="3">
        <f>Demand!$D$7</f>
        <v>45</v>
      </c>
      <c r="D30" s="4">
        <v>0</v>
      </c>
      <c r="E30" s="4">
        <f>Demand!$C$7</f>
        <v>5000</v>
      </c>
    </row>
    <row r="31" spans="1:5" x14ac:dyDescent="0.25">
      <c r="A31" s="3" t="s">
        <v>70</v>
      </c>
      <c r="B31" s="3" t="s">
        <v>46</v>
      </c>
      <c r="C31" s="3">
        <f>Demand!$D$8</f>
        <v>45</v>
      </c>
      <c r="D31" s="4">
        <v>0</v>
      </c>
      <c r="E31" s="4">
        <f>Demand!$C$8</f>
        <v>30000</v>
      </c>
    </row>
    <row r="32" spans="1:5" x14ac:dyDescent="0.25">
      <c r="A32" s="3" t="s">
        <v>71</v>
      </c>
      <c r="B32" s="3" t="s">
        <v>44</v>
      </c>
      <c r="C32" s="3">
        <f>Demand!$D$9</f>
        <v>46</v>
      </c>
      <c r="D32" s="4">
        <v>0</v>
      </c>
      <c r="E32" s="4">
        <f>Demand!$C$9</f>
        <v>80000</v>
      </c>
    </row>
    <row r="33" spans="1:5" x14ac:dyDescent="0.25">
      <c r="A33" s="3" t="s">
        <v>71</v>
      </c>
      <c r="B33" s="3" t="s">
        <v>45</v>
      </c>
      <c r="C33" s="3">
        <f>Demand!$D$10</f>
        <v>46</v>
      </c>
      <c r="D33" s="4">
        <v>0</v>
      </c>
      <c r="E33" s="4">
        <f>Demand!$C$10</f>
        <v>40000</v>
      </c>
    </row>
    <row r="34" spans="1:5" x14ac:dyDescent="0.25">
      <c r="A34" s="3" t="s">
        <v>71</v>
      </c>
      <c r="B34" s="3" t="s">
        <v>46</v>
      </c>
      <c r="C34" s="3">
        <f>Demand!$D$11</f>
        <v>46</v>
      </c>
      <c r="D34" s="4">
        <v>0</v>
      </c>
      <c r="E34" s="4">
        <f>Demand!$C$11</f>
        <v>25000</v>
      </c>
    </row>
    <row r="35" spans="1:5" x14ac:dyDescent="0.25">
      <c r="A35" s="3" t="s">
        <v>72</v>
      </c>
      <c r="B35" s="3" t="s">
        <v>44</v>
      </c>
      <c r="C35" s="3">
        <f>Demand!$D$12</f>
        <v>46</v>
      </c>
      <c r="D35" s="4">
        <v>0</v>
      </c>
      <c r="E35" s="4">
        <f>Demand!$C$12</f>
        <v>50000</v>
      </c>
    </row>
    <row r="36" spans="1:5" x14ac:dyDescent="0.25">
      <c r="A36" s="3" t="s">
        <v>72</v>
      </c>
      <c r="B36" s="3" t="s">
        <v>45</v>
      </c>
      <c r="C36" s="3">
        <f>Demand!$D$13</f>
        <v>46</v>
      </c>
      <c r="D36" s="4">
        <v>0</v>
      </c>
      <c r="E36" s="4">
        <f>Demand!$C$13</f>
        <v>30000</v>
      </c>
    </row>
    <row r="37" spans="1:5" x14ac:dyDescent="0.25">
      <c r="A37" s="3" t="s">
        <v>72</v>
      </c>
      <c r="B37" s="3" t="s">
        <v>46</v>
      </c>
      <c r="C37" s="3">
        <f>Demand!$D$14</f>
        <v>46</v>
      </c>
      <c r="D37" s="4">
        <v>0</v>
      </c>
      <c r="E37" s="4">
        <f>Demand!$C$14</f>
        <v>15000</v>
      </c>
    </row>
    <row r="38" spans="1:5" x14ac:dyDescent="0.25">
      <c r="A38" s="3" t="s">
        <v>73</v>
      </c>
      <c r="B38" s="3" t="s">
        <v>44</v>
      </c>
      <c r="C38" s="3">
        <f>Demand!$D$15</f>
        <v>46</v>
      </c>
      <c r="D38" s="4">
        <v>0</v>
      </c>
      <c r="E38" s="4">
        <f>Demand!$C$15</f>
        <v>35000</v>
      </c>
    </row>
    <row r="39" spans="1:5" x14ac:dyDescent="0.25">
      <c r="A39" s="3" t="s">
        <v>73</v>
      </c>
      <c r="B39" s="3" t="s">
        <v>45</v>
      </c>
      <c r="C39" s="3">
        <f>Demand!$D$16</f>
        <v>46</v>
      </c>
      <c r="D39" s="4">
        <v>0</v>
      </c>
      <c r="E39" s="4">
        <f>Demand!$C$16</f>
        <v>25000</v>
      </c>
    </row>
    <row r="40" spans="1:5" x14ac:dyDescent="0.25">
      <c r="A40" s="3" t="s">
        <v>73</v>
      </c>
      <c r="B40" s="3" t="s">
        <v>46</v>
      </c>
      <c r="C40" s="3">
        <f>Demand!$D$17</f>
        <v>46</v>
      </c>
      <c r="D40" s="4">
        <v>0</v>
      </c>
      <c r="E40" s="4">
        <f>Demand!$C$17</f>
        <v>10000</v>
      </c>
    </row>
    <row r="42" spans="1:5" x14ac:dyDescent="0.25">
      <c r="A42" s="1" t="s">
        <v>260</v>
      </c>
    </row>
    <row r="43" spans="1:5" x14ac:dyDescent="0.25">
      <c r="A43" s="2" t="s">
        <v>15</v>
      </c>
      <c r="B43" s="2" t="s">
        <v>16</v>
      </c>
      <c r="C43" s="2" t="s">
        <v>261</v>
      </c>
      <c r="D43" s="2" t="s">
        <v>262</v>
      </c>
    </row>
    <row r="44" spans="1:5" x14ac:dyDescent="0.25">
      <c r="A44" s="3" t="s">
        <v>21</v>
      </c>
      <c r="B44" s="3">
        <v>45</v>
      </c>
      <c r="C44" s="6">
        <v>0</v>
      </c>
      <c r="D44" s="6">
        <v>0</v>
      </c>
    </row>
    <row r="45" spans="1:5" x14ac:dyDescent="0.25">
      <c r="A45" s="3" t="s">
        <v>21</v>
      </c>
      <c r="B45" s="3">
        <v>46</v>
      </c>
      <c r="C45" s="6">
        <v>0</v>
      </c>
      <c r="D45" s="6">
        <v>0</v>
      </c>
    </row>
    <row r="46" spans="1:5" x14ac:dyDescent="0.25">
      <c r="A46" s="3" t="s">
        <v>26</v>
      </c>
      <c r="B46" s="3">
        <v>45</v>
      </c>
      <c r="C46" s="6">
        <v>0</v>
      </c>
      <c r="D46" s="6">
        <v>0</v>
      </c>
    </row>
    <row r="47" spans="1:5" x14ac:dyDescent="0.25">
      <c r="A47" s="3" t="s">
        <v>26</v>
      </c>
      <c r="B47" s="3">
        <v>46</v>
      </c>
      <c r="C47" s="6">
        <v>0</v>
      </c>
      <c r="D47" s="6">
        <v>0</v>
      </c>
    </row>
    <row r="48" spans="1:5" x14ac:dyDescent="0.25">
      <c r="A48" s="3" t="s">
        <v>27</v>
      </c>
      <c r="B48" s="3">
        <v>45</v>
      </c>
      <c r="C48" s="6">
        <v>0</v>
      </c>
      <c r="D48" s="6">
        <v>0</v>
      </c>
    </row>
    <row r="49" spans="1:4" x14ac:dyDescent="0.25">
      <c r="A49" s="3" t="s">
        <v>27</v>
      </c>
      <c r="B49" s="3">
        <v>46</v>
      </c>
      <c r="C49" s="6">
        <v>0</v>
      </c>
      <c r="D49" s="6">
        <v>0</v>
      </c>
    </row>
    <row r="51" spans="1:4" x14ac:dyDescent="0.25">
      <c r="A51" s="1" t="s">
        <v>263</v>
      </c>
    </row>
    <row r="52" spans="1:4" x14ac:dyDescent="0.25">
      <c r="A52" s="2" t="s">
        <v>15</v>
      </c>
      <c r="B52" s="2" t="s">
        <v>16</v>
      </c>
      <c r="C52" s="2" t="s">
        <v>261</v>
      </c>
      <c r="D52" s="2" t="s">
        <v>262</v>
      </c>
    </row>
    <row r="53" spans="1:4" x14ac:dyDescent="0.25">
      <c r="A53" s="3" t="s">
        <v>21</v>
      </c>
      <c r="B53" s="3">
        <v>45</v>
      </c>
      <c r="C53" s="6">
        <v>0</v>
      </c>
      <c r="D53" s="6">
        <v>0</v>
      </c>
    </row>
    <row r="54" spans="1:4" x14ac:dyDescent="0.25">
      <c r="A54" s="3" t="s">
        <v>21</v>
      </c>
      <c r="B54" s="3">
        <v>46</v>
      </c>
      <c r="C54" s="6">
        <v>0</v>
      </c>
      <c r="D54" s="6">
        <v>0</v>
      </c>
    </row>
    <row r="55" spans="1:4" x14ac:dyDescent="0.25">
      <c r="A55" s="3" t="s">
        <v>26</v>
      </c>
      <c r="B55" s="3">
        <v>45</v>
      </c>
      <c r="C55" s="6">
        <v>0</v>
      </c>
      <c r="D55" s="6">
        <v>0</v>
      </c>
    </row>
    <row r="56" spans="1:4" x14ac:dyDescent="0.25">
      <c r="A56" s="3" t="s">
        <v>26</v>
      </c>
      <c r="B56" s="3">
        <v>46</v>
      </c>
      <c r="C56" s="6">
        <v>0</v>
      </c>
      <c r="D56" s="6">
        <v>0</v>
      </c>
    </row>
    <row r="57" spans="1:4" x14ac:dyDescent="0.25">
      <c r="A57" s="3" t="s">
        <v>27</v>
      </c>
      <c r="B57" s="3">
        <v>45</v>
      </c>
      <c r="C57" s="6">
        <v>0</v>
      </c>
      <c r="D57" s="6">
        <v>0</v>
      </c>
    </row>
    <row r="58" spans="1:4" x14ac:dyDescent="0.25">
      <c r="A58" s="3" t="s">
        <v>27</v>
      </c>
      <c r="B58" s="3">
        <v>46</v>
      </c>
      <c r="C58" s="6">
        <v>0</v>
      </c>
      <c r="D58" s="6">
        <v>0</v>
      </c>
    </row>
    <row r="60" spans="1:4" x14ac:dyDescent="0.25">
      <c r="A60" s="1" t="s">
        <v>264</v>
      </c>
    </row>
    <row r="61" spans="1:4" x14ac:dyDescent="0.25">
      <c r="A61" s="2" t="s">
        <v>265</v>
      </c>
      <c r="B61" s="2" t="s">
        <v>266</v>
      </c>
    </row>
    <row r="62" spans="1:4" x14ac:dyDescent="0.25">
      <c r="A62" s="4">
        <f>SUMIFS(Decisions_struct!$G:$G,Decisions_struct!$A:$A,"X")
 +SUMIFS(Decisions_struct!$G:$G,Decisions_struct!$A:$A,"XOT")</f>
        <v>0</v>
      </c>
      <c r="B62" s="4">
        <v>455000</v>
      </c>
    </row>
    <row r="64" spans="1:4" x14ac:dyDescent="0.25">
      <c r="A64" s="1" t="s">
        <v>267</v>
      </c>
    </row>
    <row r="65" spans="1:5" x14ac:dyDescent="0.25">
      <c r="A65" s="2" t="s">
        <v>268</v>
      </c>
      <c r="B65" s="2" t="s">
        <v>269</v>
      </c>
      <c r="C65" s="2" t="s">
        <v>270</v>
      </c>
      <c r="D65" s="2" t="s">
        <v>271</v>
      </c>
    </row>
    <row r="66" spans="1:5" x14ac:dyDescent="0.25">
      <c r="A66" s="6" t="e">
        <f t="array" ref="A66">0.5*SUMPRODUCT((Decisions_struct!$A:$A="XOT")*Decisions_struct!$G:$G*INDEX(C_pi,MATCH(Decisions_struct!$C:$C,C_pi_plants,0),MATCH(Decisions_struct!$D:$D,C_pi_products,0)))</f>
        <v>#VALUE!</v>
      </c>
      <c r="B66" s="6" t="e">
        <f t="array" ref="B66">SUMPRODUCT(E_range*((Decisions_struct!$B:$B="K")*45+(Decisions_struct!$B:$B="C")*49+(Decisions_struct!$B:$B="G")*10))</f>
        <v>#N/A</v>
      </c>
      <c r="C66" s="6" t="e">
        <f>A66+B66</f>
        <v>#VALUE!</v>
      </c>
      <c r="D66" s="4">
        <v>15000000</v>
      </c>
    </row>
    <row r="68" spans="1:5" x14ac:dyDescent="0.25">
      <c r="A68" s="1" t="s">
        <v>272</v>
      </c>
    </row>
    <row r="69" spans="1:5" x14ac:dyDescent="0.25">
      <c r="A69" s="2" t="s">
        <v>15</v>
      </c>
      <c r="B69" s="2" t="s">
        <v>16</v>
      </c>
      <c r="C69" s="2" t="s">
        <v>248</v>
      </c>
      <c r="D69" s="2" t="s">
        <v>273</v>
      </c>
      <c r="E69" s="2" t="s">
        <v>249</v>
      </c>
    </row>
    <row r="70" spans="1:5" x14ac:dyDescent="0.25">
      <c r="A70" s="3" t="s">
        <v>21</v>
      </c>
      <c r="B70" s="3">
        <v>45</v>
      </c>
      <c r="C70" s="3">
        <f>Derived!$C$3</f>
        <v>0</v>
      </c>
      <c r="D70" s="3">
        <f>Decisions!B44</f>
        <v>0</v>
      </c>
      <c r="E70" s="3">
        <f>Decisions!B52</f>
        <v>0</v>
      </c>
    </row>
    <row r="71" spans="1:5" x14ac:dyDescent="0.25">
      <c r="A71" s="3" t="s">
        <v>21</v>
      </c>
      <c r="B71" s="3">
        <v>46</v>
      </c>
      <c r="C71" s="3">
        <f>Derived!$C$4</f>
        <v>0</v>
      </c>
      <c r="D71" s="3">
        <f>Decisions!B45</f>
        <v>0</v>
      </c>
      <c r="E71" s="3">
        <f>Decisions!B53</f>
        <v>0</v>
      </c>
    </row>
    <row r="72" spans="1:5" x14ac:dyDescent="0.25">
      <c r="A72" s="3" t="s">
        <v>26</v>
      </c>
      <c r="B72" s="3">
        <v>45</v>
      </c>
      <c r="C72" s="3">
        <f>Derived!$C$5</f>
        <v>0</v>
      </c>
      <c r="D72" s="3">
        <f>Decisions!B46</f>
        <v>0</v>
      </c>
      <c r="E72" s="3">
        <f>Decisions!B54</f>
        <v>0</v>
      </c>
    </row>
    <row r="73" spans="1:5" x14ac:dyDescent="0.25">
      <c r="A73" s="3" t="s">
        <v>26</v>
      </c>
      <c r="B73" s="3">
        <v>46</v>
      </c>
      <c r="C73" s="3">
        <f>Derived!$C$6</f>
        <v>0</v>
      </c>
      <c r="D73" s="3">
        <f>Decisions!B47</f>
        <v>0</v>
      </c>
      <c r="E73" s="3">
        <f>Decisions!B55</f>
        <v>0</v>
      </c>
    </row>
    <row r="74" spans="1:5" x14ac:dyDescent="0.25">
      <c r="A74" s="3" t="s">
        <v>27</v>
      </c>
      <c r="B74" s="3">
        <v>45</v>
      </c>
      <c r="C74" s="3">
        <f>Derived!$C$7</f>
        <v>0</v>
      </c>
      <c r="D74" s="3">
        <f>Decisions!B48</f>
        <v>0</v>
      </c>
      <c r="E74" s="3">
        <f>Decisions!B56</f>
        <v>0</v>
      </c>
    </row>
    <row r="75" spans="1:5" x14ac:dyDescent="0.25">
      <c r="A75" s="3" t="s">
        <v>27</v>
      </c>
      <c r="B75" s="3">
        <v>46</v>
      </c>
      <c r="C75" s="3">
        <f>Derived!$C$8</f>
        <v>0</v>
      </c>
      <c r="D75" s="3">
        <f>Decisions!B49</f>
        <v>0</v>
      </c>
      <c r="E75" s="3">
        <f>Decisions!B57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>
      <selection activeCell="E2" sqref="E2"/>
    </sheetView>
  </sheetViews>
  <sheetFormatPr defaultRowHeight="15" x14ac:dyDescent="0.25"/>
  <cols>
    <col min="1" max="1" width="22.28515625" bestFit="1" customWidth="1"/>
    <col min="3" max="3" width="12.7109375" bestFit="1" customWidth="1"/>
    <col min="4" max="4" width="11.7109375" bestFit="1" customWidth="1"/>
  </cols>
  <sheetData>
    <row r="1" spans="1:5" x14ac:dyDescent="0.25">
      <c r="A1" s="1" t="s">
        <v>274</v>
      </c>
    </row>
    <row r="2" spans="1:5" x14ac:dyDescent="0.25">
      <c r="A2" s="2" t="s">
        <v>275</v>
      </c>
      <c r="B2" s="2" t="s">
        <v>276</v>
      </c>
      <c r="C2" s="2" t="s">
        <v>277</v>
      </c>
      <c r="D2" s="2" t="s">
        <v>278</v>
      </c>
      <c r="E2" s="2" t="s">
        <v>279</v>
      </c>
    </row>
    <row r="3" spans="1:5" x14ac:dyDescent="0.25">
      <c r="A3" s="6">
        <v>0</v>
      </c>
      <c r="B3" s="6">
        <v>0</v>
      </c>
      <c r="C3" s="6">
        <v>0</v>
      </c>
      <c r="D3" s="6">
        <v>0</v>
      </c>
      <c r="E3" s="6">
        <f>SUM(A3:D3)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71"/>
  <sheetViews>
    <sheetView workbookViewId="0">
      <selection activeCell="I21" sqref="I21"/>
    </sheetView>
  </sheetViews>
  <sheetFormatPr defaultRowHeight="15" x14ac:dyDescent="0.25"/>
  <cols>
    <col min="1" max="1" width="8" bestFit="1" customWidth="1"/>
    <col min="2" max="2" width="7.5703125" customWidth="1"/>
    <col min="3" max="3" width="18" customWidth="1"/>
    <col min="4" max="5" width="4" customWidth="1"/>
    <col min="6" max="6" width="12" customWidth="1"/>
    <col min="7" max="7" width="7" customWidth="1"/>
    <col min="8" max="8" width="11" customWidth="1"/>
  </cols>
  <sheetData>
    <row r="1" spans="1:8" x14ac:dyDescent="0.25">
      <c r="A1" t="s">
        <v>280</v>
      </c>
      <c r="B1">
        <f>Objective!E3</f>
        <v>0</v>
      </c>
      <c r="C1" t="s">
        <v>281</v>
      </c>
      <c r="D1" t="s">
        <v>253</v>
      </c>
      <c r="E1" t="s">
        <v>282</v>
      </c>
      <c r="F1">
        <f>ROWS(X_range)+ROWS(XOT_range)+ROWS(S_range)+ROWS(Y_range)+ROWS(YPT_range)+ROWS(E_range)</f>
        <v>270</v>
      </c>
      <c r="G1" t="s">
        <v>283</v>
      </c>
      <c r="H1" t="s">
        <v>284</v>
      </c>
    </row>
    <row r="2" spans="1:8" x14ac:dyDescent="0.25">
      <c r="A2" t="s">
        <v>285</v>
      </c>
      <c r="B2" t="s">
        <v>21</v>
      </c>
      <c r="C2" t="s">
        <v>31</v>
      </c>
      <c r="E2">
        <v>45</v>
      </c>
      <c r="G2">
        <v>0</v>
      </c>
      <c r="H2" t="s">
        <v>286</v>
      </c>
    </row>
    <row r="3" spans="1:8" x14ac:dyDescent="0.25">
      <c r="A3" t="s">
        <v>285</v>
      </c>
      <c r="B3" t="s">
        <v>21</v>
      </c>
      <c r="C3" t="s">
        <v>31</v>
      </c>
      <c r="E3">
        <v>46</v>
      </c>
      <c r="G3">
        <v>0</v>
      </c>
      <c r="H3" t="s">
        <v>286</v>
      </c>
    </row>
    <row r="4" spans="1:8" x14ac:dyDescent="0.25">
      <c r="A4" t="s">
        <v>285</v>
      </c>
      <c r="B4" t="s">
        <v>26</v>
      </c>
      <c r="C4" t="s">
        <v>32</v>
      </c>
      <c r="E4">
        <v>45</v>
      </c>
      <c r="G4">
        <v>0</v>
      </c>
      <c r="H4" t="s">
        <v>286</v>
      </c>
    </row>
    <row r="5" spans="1:8" x14ac:dyDescent="0.25">
      <c r="A5" t="s">
        <v>285</v>
      </c>
      <c r="B5" t="s">
        <v>26</v>
      </c>
      <c r="C5" t="s">
        <v>32</v>
      </c>
      <c r="E5">
        <v>46</v>
      </c>
      <c r="G5">
        <v>0</v>
      </c>
      <c r="H5" t="s">
        <v>286</v>
      </c>
    </row>
    <row r="6" spans="1:8" x14ac:dyDescent="0.25">
      <c r="A6" t="s">
        <v>285</v>
      </c>
      <c r="B6" t="s">
        <v>27</v>
      </c>
      <c r="C6" t="s">
        <v>33</v>
      </c>
      <c r="E6">
        <v>45</v>
      </c>
      <c r="G6">
        <v>0</v>
      </c>
      <c r="H6" t="s">
        <v>286</v>
      </c>
    </row>
    <row r="7" spans="1:8" x14ac:dyDescent="0.25">
      <c r="A7" t="s">
        <v>285</v>
      </c>
      <c r="B7" t="s">
        <v>27</v>
      </c>
      <c r="C7" t="s">
        <v>33</v>
      </c>
      <c r="E7">
        <v>46</v>
      </c>
      <c r="G7">
        <v>0</v>
      </c>
      <c r="H7" t="s">
        <v>286</v>
      </c>
    </row>
    <row r="8" spans="1:8" x14ac:dyDescent="0.25">
      <c r="A8" t="s">
        <v>287</v>
      </c>
      <c r="B8" t="s">
        <v>21</v>
      </c>
      <c r="C8" t="s">
        <v>31</v>
      </c>
      <c r="D8" t="s">
        <v>44</v>
      </c>
      <c r="E8">
        <v>45</v>
      </c>
      <c r="F8" t="s">
        <v>69</v>
      </c>
      <c r="G8">
        <v>0</v>
      </c>
      <c r="H8" t="s">
        <v>286</v>
      </c>
    </row>
    <row r="9" spans="1:8" x14ac:dyDescent="0.25">
      <c r="A9" t="s">
        <v>287</v>
      </c>
      <c r="B9" t="s">
        <v>26</v>
      </c>
      <c r="C9" t="s">
        <v>32</v>
      </c>
      <c r="D9" t="s">
        <v>44</v>
      </c>
      <c r="E9">
        <v>45</v>
      </c>
      <c r="F9" t="s">
        <v>69</v>
      </c>
      <c r="G9">
        <v>0</v>
      </c>
      <c r="H9" t="s">
        <v>286</v>
      </c>
    </row>
    <row r="10" spans="1:8" x14ac:dyDescent="0.25">
      <c r="A10" t="s">
        <v>287</v>
      </c>
      <c r="B10" t="s">
        <v>27</v>
      </c>
      <c r="C10" t="s">
        <v>33</v>
      </c>
      <c r="D10" t="s">
        <v>44</v>
      </c>
      <c r="E10">
        <v>45</v>
      </c>
      <c r="F10" t="s">
        <v>69</v>
      </c>
      <c r="G10">
        <v>0</v>
      </c>
      <c r="H10" t="s">
        <v>286</v>
      </c>
    </row>
    <row r="11" spans="1:8" x14ac:dyDescent="0.25">
      <c r="A11" t="s">
        <v>287</v>
      </c>
      <c r="B11" t="s">
        <v>21</v>
      </c>
      <c r="C11" t="s">
        <v>31</v>
      </c>
      <c r="D11" t="s">
        <v>44</v>
      </c>
      <c r="E11">
        <v>45</v>
      </c>
      <c r="F11" t="s">
        <v>69</v>
      </c>
      <c r="G11">
        <v>0</v>
      </c>
      <c r="H11" t="s">
        <v>286</v>
      </c>
    </row>
    <row r="12" spans="1:8" x14ac:dyDescent="0.25">
      <c r="A12" t="s">
        <v>287</v>
      </c>
      <c r="B12" t="s">
        <v>26</v>
      </c>
      <c r="C12" t="s">
        <v>32</v>
      </c>
      <c r="D12" t="s">
        <v>44</v>
      </c>
      <c r="E12">
        <v>45</v>
      </c>
      <c r="F12" t="s">
        <v>69</v>
      </c>
      <c r="G12">
        <v>0</v>
      </c>
      <c r="H12" t="s">
        <v>286</v>
      </c>
    </row>
    <row r="13" spans="1:8" x14ac:dyDescent="0.25">
      <c r="A13" t="s">
        <v>287</v>
      </c>
      <c r="B13" t="s">
        <v>27</v>
      </c>
      <c r="C13" t="s">
        <v>33</v>
      </c>
      <c r="D13" t="s">
        <v>44</v>
      </c>
      <c r="E13">
        <v>45</v>
      </c>
      <c r="F13" t="s">
        <v>69</v>
      </c>
      <c r="G13">
        <v>0</v>
      </c>
      <c r="H13" t="s">
        <v>286</v>
      </c>
    </row>
    <row r="14" spans="1:8" x14ac:dyDescent="0.25">
      <c r="A14" t="s">
        <v>287</v>
      </c>
      <c r="B14" t="s">
        <v>21</v>
      </c>
      <c r="C14" t="s">
        <v>31</v>
      </c>
      <c r="D14" t="s">
        <v>44</v>
      </c>
      <c r="E14">
        <v>45</v>
      </c>
      <c r="F14" t="s">
        <v>69</v>
      </c>
      <c r="G14">
        <v>0</v>
      </c>
      <c r="H14" t="s">
        <v>286</v>
      </c>
    </row>
    <row r="15" spans="1:8" x14ac:dyDescent="0.25">
      <c r="A15" t="s">
        <v>287</v>
      </c>
      <c r="B15" t="s">
        <v>26</v>
      </c>
      <c r="C15" t="s">
        <v>32</v>
      </c>
      <c r="D15" t="s">
        <v>44</v>
      </c>
      <c r="E15">
        <v>45</v>
      </c>
      <c r="F15" t="s">
        <v>69</v>
      </c>
      <c r="G15">
        <v>0</v>
      </c>
      <c r="H15" t="s">
        <v>286</v>
      </c>
    </row>
    <row r="16" spans="1:8" x14ac:dyDescent="0.25">
      <c r="A16" t="s">
        <v>287</v>
      </c>
      <c r="B16" t="s">
        <v>27</v>
      </c>
      <c r="C16" t="s">
        <v>33</v>
      </c>
      <c r="D16" t="s">
        <v>44</v>
      </c>
      <c r="E16">
        <v>45</v>
      </c>
      <c r="F16" t="s">
        <v>69</v>
      </c>
      <c r="G16">
        <v>0</v>
      </c>
      <c r="H16" t="s">
        <v>286</v>
      </c>
    </row>
    <row r="17" spans="1:8" x14ac:dyDescent="0.25">
      <c r="A17" t="s">
        <v>287</v>
      </c>
      <c r="B17" t="s">
        <v>21</v>
      </c>
      <c r="C17" t="s">
        <v>31</v>
      </c>
      <c r="D17" t="s">
        <v>45</v>
      </c>
      <c r="E17">
        <v>45</v>
      </c>
      <c r="F17" t="s">
        <v>69</v>
      </c>
      <c r="G17">
        <v>0</v>
      </c>
      <c r="H17" t="s">
        <v>286</v>
      </c>
    </row>
    <row r="18" spans="1:8" x14ac:dyDescent="0.25">
      <c r="A18" t="s">
        <v>287</v>
      </c>
      <c r="B18" t="s">
        <v>26</v>
      </c>
      <c r="C18" t="s">
        <v>32</v>
      </c>
      <c r="D18" t="s">
        <v>45</v>
      </c>
      <c r="E18">
        <v>45</v>
      </c>
      <c r="F18" t="s">
        <v>69</v>
      </c>
      <c r="G18">
        <v>0</v>
      </c>
      <c r="H18" t="s">
        <v>286</v>
      </c>
    </row>
    <row r="19" spans="1:8" x14ac:dyDescent="0.25">
      <c r="A19" t="s">
        <v>287</v>
      </c>
      <c r="B19" t="s">
        <v>27</v>
      </c>
      <c r="C19" t="s">
        <v>33</v>
      </c>
      <c r="D19" t="s">
        <v>45</v>
      </c>
      <c r="E19">
        <v>45</v>
      </c>
      <c r="F19" t="s">
        <v>69</v>
      </c>
      <c r="G19">
        <v>0</v>
      </c>
      <c r="H19" t="s">
        <v>286</v>
      </c>
    </row>
    <row r="20" spans="1:8" x14ac:dyDescent="0.25">
      <c r="A20" t="s">
        <v>287</v>
      </c>
      <c r="B20" t="s">
        <v>21</v>
      </c>
      <c r="C20" t="s">
        <v>31</v>
      </c>
      <c r="D20" t="s">
        <v>45</v>
      </c>
      <c r="E20">
        <v>45</v>
      </c>
      <c r="F20" t="s">
        <v>69</v>
      </c>
      <c r="G20">
        <v>0</v>
      </c>
      <c r="H20" t="s">
        <v>286</v>
      </c>
    </row>
    <row r="21" spans="1:8" x14ac:dyDescent="0.25">
      <c r="A21" t="s">
        <v>287</v>
      </c>
      <c r="B21" t="s">
        <v>26</v>
      </c>
      <c r="C21" t="s">
        <v>32</v>
      </c>
      <c r="D21" t="s">
        <v>45</v>
      </c>
      <c r="E21">
        <v>45</v>
      </c>
      <c r="F21" t="s">
        <v>69</v>
      </c>
      <c r="G21">
        <v>0</v>
      </c>
      <c r="H21" t="s">
        <v>286</v>
      </c>
    </row>
    <row r="22" spans="1:8" x14ac:dyDescent="0.25">
      <c r="A22" t="s">
        <v>287</v>
      </c>
      <c r="B22" t="s">
        <v>27</v>
      </c>
      <c r="C22" t="s">
        <v>33</v>
      </c>
      <c r="D22" t="s">
        <v>45</v>
      </c>
      <c r="E22">
        <v>45</v>
      </c>
      <c r="F22" t="s">
        <v>69</v>
      </c>
      <c r="G22">
        <v>0</v>
      </c>
      <c r="H22" t="s">
        <v>286</v>
      </c>
    </row>
    <row r="23" spans="1:8" x14ac:dyDescent="0.25">
      <c r="A23" t="s">
        <v>287</v>
      </c>
      <c r="B23" t="s">
        <v>21</v>
      </c>
      <c r="C23" t="s">
        <v>31</v>
      </c>
      <c r="D23" t="s">
        <v>45</v>
      </c>
      <c r="E23">
        <v>45</v>
      </c>
      <c r="F23" t="s">
        <v>69</v>
      </c>
      <c r="G23">
        <v>0</v>
      </c>
      <c r="H23" t="s">
        <v>286</v>
      </c>
    </row>
    <row r="24" spans="1:8" x14ac:dyDescent="0.25">
      <c r="A24" t="s">
        <v>287</v>
      </c>
      <c r="B24" t="s">
        <v>26</v>
      </c>
      <c r="C24" t="s">
        <v>32</v>
      </c>
      <c r="D24" t="s">
        <v>45</v>
      </c>
      <c r="E24">
        <v>45</v>
      </c>
      <c r="F24" t="s">
        <v>69</v>
      </c>
      <c r="G24">
        <v>0</v>
      </c>
      <c r="H24" t="s">
        <v>286</v>
      </c>
    </row>
    <row r="25" spans="1:8" x14ac:dyDescent="0.25">
      <c r="A25" t="s">
        <v>287</v>
      </c>
      <c r="B25" t="s">
        <v>27</v>
      </c>
      <c r="C25" t="s">
        <v>33</v>
      </c>
      <c r="D25" t="s">
        <v>45</v>
      </c>
      <c r="E25">
        <v>45</v>
      </c>
      <c r="F25" t="s">
        <v>69</v>
      </c>
      <c r="G25">
        <v>0</v>
      </c>
      <c r="H25" t="s">
        <v>286</v>
      </c>
    </row>
    <row r="26" spans="1:8" x14ac:dyDescent="0.25">
      <c r="A26" t="s">
        <v>287</v>
      </c>
      <c r="B26" t="s">
        <v>21</v>
      </c>
      <c r="C26" t="s">
        <v>31</v>
      </c>
      <c r="D26" t="s">
        <v>46</v>
      </c>
      <c r="E26">
        <v>45</v>
      </c>
      <c r="F26" t="s">
        <v>69</v>
      </c>
      <c r="G26">
        <v>0</v>
      </c>
      <c r="H26" t="s">
        <v>286</v>
      </c>
    </row>
    <row r="27" spans="1:8" x14ac:dyDescent="0.25">
      <c r="A27" t="s">
        <v>287</v>
      </c>
      <c r="B27" t="s">
        <v>26</v>
      </c>
      <c r="C27" t="s">
        <v>32</v>
      </c>
      <c r="D27" t="s">
        <v>46</v>
      </c>
      <c r="E27">
        <v>45</v>
      </c>
      <c r="F27" t="s">
        <v>69</v>
      </c>
      <c r="G27">
        <v>0</v>
      </c>
      <c r="H27" t="s">
        <v>286</v>
      </c>
    </row>
    <row r="28" spans="1:8" x14ac:dyDescent="0.25">
      <c r="A28" t="s">
        <v>287</v>
      </c>
      <c r="B28" t="s">
        <v>27</v>
      </c>
      <c r="C28" t="s">
        <v>33</v>
      </c>
      <c r="D28" t="s">
        <v>46</v>
      </c>
      <c r="E28">
        <v>45</v>
      </c>
      <c r="F28" t="s">
        <v>69</v>
      </c>
      <c r="G28">
        <v>0</v>
      </c>
      <c r="H28" t="s">
        <v>286</v>
      </c>
    </row>
    <row r="29" spans="1:8" x14ac:dyDescent="0.25">
      <c r="A29" t="s">
        <v>287</v>
      </c>
      <c r="B29" t="s">
        <v>21</v>
      </c>
      <c r="C29" t="s">
        <v>31</v>
      </c>
      <c r="D29" t="s">
        <v>46</v>
      </c>
      <c r="E29">
        <v>45</v>
      </c>
      <c r="F29" t="s">
        <v>69</v>
      </c>
      <c r="G29">
        <v>0</v>
      </c>
      <c r="H29" t="s">
        <v>286</v>
      </c>
    </row>
    <row r="30" spans="1:8" x14ac:dyDescent="0.25">
      <c r="A30" t="s">
        <v>287</v>
      </c>
      <c r="B30" t="s">
        <v>26</v>
      </c>
      <c r="C30" t="s">
        <v>32</v>
      </c>
      <c r="D30" t="s">
        <v>46</v>
      </c>
      <c r="E30">
        <v>45</v>
      </c>
      <c r="F30" t="s">
        <v>69</v>
      </c>
      <c r="G30">
        <v>0</v>
      </c>
      <c r="H30" t="s">
        <v>286</v>
      </c>
    </row>
    <row r="31" spans="1:8" x14ac:dyDescent="0.25">
      <c r="A31" t="s">
        <v>287</v>
      </c>
      <c r="B31" t="s">
        <v>27</v>
      </c>
      <c r="C31" t="s">
        <v>33</v>
      </c>
      <c r="D31" t="s">
        <v>46</v>
      </c>
      <c r="E31">
        <v>45</v>
      </c>
      <c r="F31" t="s">
        <v>69</v>
      </c>
      <c r="G31">
        <v>0</v>
      </c>
      <c r="H31" t="s">
        <v>286</v>
      </c>
    </row>
    <row r="32" spans="1:8" x14ac:dyDescent="0.25">
      <c r="A32" t="s">
        <v>287</v>
      </c>
      <c r="B32" t="s">
        <v>21</v>
      </c>
      <c r="C32" t="s">
        <v>31</v>
      </c>
      <c r="D32" t="s">
        <v>46</v>
      </c>
      <c r="E32">
        <v>45</v>
      </c>
      <c r="F32" t="s">
        <v>69</v>
      </c>
      <c r="G32">
        <v>0</v>
      </c>
      <c r="H32" t="s">
        <v>286</v>
      </c>
    </row>
    <row r="33" spans="1:8" x14ac:dyDescent="0.25">
      <c r="A33" t="s">
        <v>287</v>
      </c>
      <c r="B33" t="s">
        <v>26</v>
      </c>
      <c r="C33" t="s">
        <v>32</v>
      </c>
      <c r="D33" t="s">
        <v>46</v>
      </c>
      <c r="E33">
        <v>45</v>
      </c>
      <c r="F33" t="s">
        <v>69</v>
      </c>
      <c r="G33">
        <v>0</v>
      </c>
      <c r="H33" t="s">
        <v>286</v>
      </c>
    </row>
    <row r="34" spans="1:8" x14ac:dyDescent="0.25">
      <c r="A34" t="s">
        <v>287</v>
      </c>
      <c r="B34" t="s">
        <v>27</v>
      </c>
      <c r="C34" t="s">
        <v>33</v>
      </c>
      <c r="D34" t="s">
        <v>46</v>
      </c>
      <c r="E34">
        <v>45</v>
      </c>
      <c r="F34" t="s">
        <v>69</v>
      </c>
      <c r="G34">
        <v>0</v>
      </c>
      <c r="H34" t="s">
        <v>286</v>
      </c>
    </row>
    <row r="35" spans="1:8" x14ac:dyDescent="0.25">
      <c r="A35" t="s">
        <v>287</v>
      </c>
      <c r="B35" t="s">
        <v>21</v>
      </c>
      <c r="C35" t="s">
        <v>31</v>
      </c>
      <c r="D35" t="s">
        <v>44</v>
      </c>
      <c r="E35">
        <v>45</v>
      </c>
      <c r="F35" t="s">
        <v>70</v>
      </c>
      <c r="G35">
        <v>0</v>
      </c>
      <c r="H35" t="s">
        <v>286</v>
      </c>
    </row>
    <row r="36" spans="1:8" x14ac:dyDescent="0.25">
      <c r="A36" t="s">
        <v>287</v>
      </c>
      <c r="B36" t="s">
        <v>26</v>
      </c>
      <c r="C36" t="s">
        <v>32</v>
      </c>
      <c r="D36" t="s">
        <v>44</v>
      </c>
      <c r="E36">
        <v>45</v>
      </c>
      <c r="F36" t="s">
        <v>70</v>
      </c>
      <c r="G36">
        <v>0</v>
      </c>
      <c r="H36" t="s">
        <v>286</v>
      </c>
    </row>
    <row r="37" spans="1:8" x14ac:dyDescent="0.25">
      <c r="A37" t="s">
        <v>287</v>
      </c>
      <c r="B37" t="s">
        <v>27</v>
      </c>
      <c r="C37" t="s">
        <v>33</v>
      </c>
      <c r="D37" t="s">
        <v>44</v>
      </c>
      <c r="E37">
        <v>45</v>
      </c>
      <c r="F37" t="s">
        <v>70</v>
      </c>
      <c r="G37">
        <v>0</v>
      </c>
      <c r="H37" t="s">
        <v>286</v>
      </c>
    </row>
    <row r="38" spans="1:8" x14ac:dyDescent="0.25">
      <c r="A38" t="s">
        <v>287</v>
      </c>
      <c r="B38" t="s">
        <v>21</v>
      </c>
      <c r="C38" t="s">
        <v>31</v>
      </c>
      <c r="D38" t="s">
        <v>44</v>
      </c>
      <c r="E38">
        <v>45</v>
      </c>
      <c r="F38" t="s">
        <v>70</v>
      </c>
      <c r="G38">
        <v>0</v>
      </c>
      <c r="H38" t="s">
        <v>286</v>
      </c>
    </row>
    <row r="39" spans="1:8" x14ac:dyDescent="0.25">
      <c r="A39" t="s">
        <v>287</v>
      </c>
      <c r="B39" t="s">
        <v>26</v>
      </c>
      <c r="C39" t="s">
        <v>32</v>
      </c>
      <c r="D39" t="s">
        <v>44</v>
      </c>
      <c r="E39">
        <v>45</v>
      </c>
      <c r="F39" t="s">
        <v>70</v>
      </c>
      <c r="G39">
        <v>0</v>
      </c>
      <c r="H39" t="s">
        <v>286</v>
      </c>
    </row>
    <row r="40" spans="1:8" x14ac:dyDescent="0.25">
      <c r="A40" t="s">
        <v>287</v>
      </c>
      <c r="B40" t="s">
        <v>27</v>
      </c>
      <c r="C40" t="s">
        <v>33</v>
      </c>
      <c r="D40" t="s">
        <v>44</v>
      </c>
      <c r="E40">
        <v>45</v>
      </c>
      <c r="F40" t="s">
        <v>70</v>
      </c>
      <c r="G40">
        <v>0</v>
      </c>
      <c r="H40" t="s">
        <v>286</v>
      </c>
    </row>
    <row r="41" spans="1:8" x14ac:dyDescent="0.25">
      <c r="A41" t="s">
        <v>287</v>
      </c>
      <c r="B41" t="s">
        <v>21</v>
      </c>
      <c r="C41" t="s">
        <v>31</v>
      </c>
      <c r="D41" t="s">
        <v>44</v>
      </c>
      <c r="E41">
        <v>45</v>
      </c>
      <c r="F41" t="s">
        <v>70</v>
      </c>
      <c r="G41">
        <v>0</v>
      </c>
      <c r="H41" t="s">
        <v>286</v>
      </c>
    </row>
    <row r="42" spans="1:8" x14ac:dyDescent="0.25">
      <c r="A42" t="s">
        <v>287</v>
      </c>
      <c r="B42" t="s">
        <v>26</v>
      </c>
      <c r="C42" t="s">
        <v>32</v>
      </c>
      <c r="D42" t="s">
        <v>44</v>
      </c>
      <c r="E42">
        <v>45</v>
      </c>
      <c r="F42" t="s">
        <v>70</v>
      </c>
      <c r="G42">
        <v>0</v>
      </c>
      <c r="H42" t="s">
        <v>286</v>
      </c>
    </row>
    <row r="43" spans="1:8" x14ac:dyDescent="0.25">
      <c r="A43" t="s">
        <v>287</v>
      </c>
      <c r="B43" t="s">
        <v>27</v>
      </c>
      <c r="C43" t="s">
        <v>33</v>
      </c>
      <c r="D43" t="s">
        <v>44</v>
      </c>
      <c r="E43">
        <v>45</v>
      </c>
      <c r="F43" t="s">
        <v>70</v>
      </c>
      <c r="G43">
        <v>0</v>
      </c>
      <c r="H43" t="s">
        <v>286</v>
      </c>
    </row>
    <row r="44" spans="1:8" x14ac:dyDescent="0.25">
      <c r="A44" t="s">
        <v>287</v>
      </c>
      <c r="B44" t="s">
        <v>21</v>
      </c>
      <c r="C44" t="s">
        <v>31</v>
      </c>
      <c r="D44" t="s">
        <v>45</v>
      </c>
      <c r="E44">
        <v>45</v>
      </c>
      <c r="F44" t="s">
        <v>70</v>
      </c>
      <c r="G44">
        <v>0</v>
      </c>
      <c r="H44" t="s">
        <v>286</v>
      </c>
    </row>
    <row r="45" spans="1:8" x14ac:dyDescent="0.25">
      <c r="A45" t="s">
        <v>287</v>
      </c>
      <c r="B45" t="s">
        <v>26</v>
      </c>
      <c r="C45" t="s">
        <v>32</v>
      </c>
      <c r="D45" t="s">
        <v>45</v>
      </c>
      <c r="E45">
        <v>45</v>
      </c>
      <c r="F45" t="s">
        <v>70</v>
      </c>
      <c r="G45">
        <v>0</v>
      </c>
      <c r="H45" t="s">
        <v>286</v>
      </c>
    </row>
    <row r="46" spans="1:8" x14ac:dyDescent="0.25">
      <c r="A46" t="s">
        <v>287</v>
      </c>
      <c r="B46" t="s">
        <v>27</v>
      </c>
      <c r="C46" t="s">
        <v>33</v>
      </c>
      <c r="D46" t="s">
        <v>45</v>
      </c>
      <c r="E46">
        <v>45</v>
      </c>
      <c r="F46" t="s">
        <v>70</v>
      </c>
      <c r="G46">
        <v>0</v>
      </c>
      <c r="H46" t="s">
        <v>286</v>
      </c>
    </row>
    <row r="47" spans="1:8" x14ac:dyDescent="0.25">
      <c r="A47" t="s">
        <v>287</v>
      </c>
      <c r="B47" t="s">
        <v>21</v>
      </c>
      <c r="C47" t="s">
        <v>31</v>
      </c>
      <c r="D47" t="s">
        <v>45</v>
      </c>
      <c r="E47">
        <v>45</v>
      </c>
      <c r="F47" t="s">
        <v>70</v>
      </c>
      <c r="G47">
        <v>0</v>
      </c>
      <c r="H47" t="s">
        <v>286</v>
      </c>
    </row>
    <row r="48" spans="1:8" x14ac:dyDescent="0.25">
      <c r="A48" t="s">
        <v>287</v>
      </c>
      <c r="B48" t="s">
        <v>26</v>
      </c>
      <c r="C48" t="s">
        <v>32</v>
      </c>
      <c r="D48" t="s">
        <v>45</v>
      </c>
      <c r="E48">
        <v>45</v>
      </c>
      <c r="F48" t="s">
        <v>70</v>
      </c>
      <c r="G48">
        <v>0</v>
      </c>
      <c r="H48" t="s">
        <v>286</v>
      </c>
    </row>
    <row r="49" spans="1:8" x14ac:dyDescent="0.25">
      <c r="A49" t="s">
        <v>287</v>
      </c>
      <c r="B49" t="s">
        <v>27</v>
      </c>
      <c r="C49" t="s">
        <v>33</v>
      </c>
      <c r="D49" t="s">
        <v>45</v>
      </c>
      <c r="E49">
        <v>45</v>
      </c>
      <c r="F49" t="s">
        <v>70</v>
      </c>
      <c r="G49">
        <v>0</v>
      </c>
      <c r="H49" t="s">
        <v>286</v>
      </c>
    </row>
    <row r="50" spans="1:8" x14ac:dyDescent="0.25">
      <c r="A50" t="s">
        <v>287</v>
      </c>
      <c r="B50" t="s">
        <v>21</v>
      </c>
      <c r="C50" t="s">
        <v>31</v>
      </c>
      <c r="D50" t="s">
        <v>45</v>
      </c>
      <c r="E50">
        <v>45</v>
      </c>
      <c r="F50" t="s">
        <v>70</v>
      </c>
      <c r="G50">
        <v>0</v>
      </c>
      <c r="H50" t="s">
        <v>286</v>
      </c>
    </row>
    <row r="51" spans="1:8" x14ac:dyDescent="0.25">
      <c r="A51" t="s">
        <v>287</v>
      </c>
      <c r="B51" t="s">
        <v>26</v>
      </c>
      <c r="C51" t="s">
        <v>32</v>
      </c>
      <c r="D51" t="s">
        <v>45</v>
      </c>
      <c r="E51">
        <v>45</v>
      </c>
      <c r="F51" t="s">
        <v>70</v>
      </c>
      <c r="G51">
        <v>0</v>
      </c>
      <c r="H51" t="s">
        <v>286</v>
      </c>
    </row>
    <row r="52" spans="1:8" x14ac:dyDescent="0.25">
      <c r="A52" t="s">
        <v>287</v>
      </c>
      <c r="B52" t="s">
        <v>27</v>
      </c>
      <c r="C52" t="s">
        <v>33</v>
      </c>
      <c r="D52" t="s">
        <v>45</v>
      </c>
      <c r="E52">
        <v>45</v>
      </c>
      <c r="F52" t="s">
        <v>70</v>
      </c>
      <c r="G52">
        <v>0</v>
      </c>
      <c r="H52" t="s">
        <v>286</v>
      </c>
    </row>
    <row r="53" spans="1:8" x14ac:dyDescent="0.25">
      <c r="A53" t="s">
        <v>287</v>
      </c>
      <c r="B53" t="s">
        <v>21</v>
      </c>
      <c r="C53" t="s">
        <v>31</v>
      </c>
      <c r="D53" t="s">
        <v>46</v>
      </c>
      <c r="E53">
        <v>45</v>
      </c>
      <c r="F53" t="s">
        <v>70</v>
      </c>
      <c r="G53">
        <v>0</v>
      </c>
      <c r="H53" t="s">
        <v>286</v>
      </c>
    </row>
    <row r="54" spans="1:8" x14ac:dyDescent="0.25">
      <c r="A54" t="s">
        <v>287</v>
      </c>
      <c r="B54" t="s">
        <v>26</v>
      </c>
      <c r="C54" t="s">
        <v>32</v>
      </c>
      <c r="D54" t="s">
        <v>46</v>
      </c>
      <c r="E54">
        <v>45</v>
      </c>
      <c r="F54" t="s">
        <v>70</v>
      </c>
      <c r="G54">
        <v>0</v>
      </c>
      <c r="H54" t="s">
        <v>286</v>
      </c>
    </row>
    <row r="55" spans="1:8" x14ac:dyDescent="0.25">
      <c r="A55" t="s">
        <v>287</v>
      </c>
      <c r="B55" t="s">
        <v>27</v>
      </c>
      <c r="C55" t="s">
        <v>33</v>
      </c>
      <c r="D55" t="s">
        <v>46</v>
      </c>
      <c r="E55">
        <v>45</v>
      </c>
      <c r="F55" t="s">
        <v>70</v>
      </c>
      <c r="G55">
        <v>0</v>
      </c>
      <c r="H55" t="s">
        <v>286</v>
      </c>
    </row>
    <row r="56" spans="1:8" x14ac:dyDescent="0.25">
      <c r="A56" t="s">
        <v>287</v>
      </c>
      <c r="B56" t="s">
        <v>21</v>
      </c>
      <c r="C56" t="s">
        <v>31</v>
      </c>
      <c r="D56" t="s">
        <v>46</v>
      </c>
      <c r="E56">
        <v>45</v>
      </c>
      <c r="F56" t="s">
        <v>70</v>
      </c>
      <c r="G56">
        <v>0</v>
      </c>
      <c r="H56" t="s">
        <v>286</v>
      </c>
    </row>
    <row r="57" spans="1:8" x14ac:dyDescent="0.25">
      <c r="A57" t="s">
        <v>287</v>
      </c>
      <c r="B57" t="s">
        <v>26</v>
      </c>
      <c r="C57" t="s">
        <v>32</v>
      </c>
      <c r="D57" t="s">
        <v>46</v>
      </c>
      <c r="E57">
        <v>45</v>
      </c>
      <c r="F57" t="s">
        <v>70</v>
      </c>
      <c r="G57">
        <v>0</v>
      </c>
      <c r="H57" t="s">
        <v>286</v>
      </c>
    </row>
    <row r="58" spans="1:8" x14ac:dyDescent="0.25">
      <c r="A58" t="s">
        <v>287</v>
      </c>
      <c r="B58" t="s">
        <v>27</v>
      </c>
      <c r="C58" t="s">
        <v>33</v>
      </c>
      <c r="D58" t="s">
        <v>46</v>
      </c>
      <c r="E58">
        <v>45</v>
      </c>
      <c r="F58" t="s">
        <v>70</v>
      </c>
      <c r="G58">
        <v>0</v>
      </c>
      <c r="H58" t="s">
        <v>286</v>
      </c>
    </row>
    <row r="59" spans="1:8" x14ac:dyDescent="0.25">
      <c r="A59" t="s">
        <v>287</v>
      </c>
      <c r="B59" t="s">
        <v>21</v>
      </c>
      <c r="C59" t="s">
        <v>31</v>
      </c>
      <c r="D59" t="s">
        <v>46</v>
      </c>
      <c r="E59">
        <v>45</v>
      </c>
      <c r="F59" t="s">
        <v>70</v>
      </c>
      <c r="G59">
        <v>0</v>
      </c>
      <c r="H59" t="s">
        <v>286</v>
      </c>
    </row>
    <row r="60" spans="1:8" x14ac:dyDescent="0.25">
      <c r="A60" t="s">
        <v>287</v>
      </c>
      <c r="B60" t="s">
        <v>26</v>
      </c>
      <c r="C60" t="s">
        <v>32</v>
      </c>
      <c r="D60" t="s">
        <v>46</v>
      </c>
      <c r="E60">
        <v>45</v>
      </c>
      <c r="F60" t="s">
        <v>70</v>
      </c>
      <c r="G60">
        <v>0</v>
      </c>
      <c r="H60" t="s">
        <v>286</v>
      </c>
    </row>
    <row r="61" spans="1:8" x14ac:dyDescent="0.25">
      <c r="A61" t="s">
        <v>287</v>
      </c>
      <c r="B61" t="s">
        <v>27</v>
      </c>
      <c r="C61" t="s">
        <v>33</v>
      </c>
      <c r="D61" t="s">
        <v>46</v>
      </c>
      <c r="E61">
        <v>45</v>
      </c>
      <c r="F61" t="s">
        <v>70</v>
      </c>
      <c r="G61">
        <v>0</v>
      </c>
      <c r="H61" t="s">
        <v>286</v>
      </c>
    </row>
    <row r="62" spans="1:8" x14ac:dyDescent="0.25">
      <c r="A62" t="s">
        <v>287</v>
      </c>
      <c r="B62" t="s">
        <v>21</v>
      </c>
      <c r="C62" t="s">
        <v>31</v>
      </c>
      <c r="D62" t="s">
        <v>44</v>
      </c>
      <c r="E62">
        <v>46</v>
      </c>
      <c r="F62" t="s">
        <v>71</v>
      </c>
      <c r="G62">
        <v>0</v>
      </c>
      <c r="H62" t="s">
        <v>286</v>
      </c>
    </row>
    <row r="63" spans="1:8" x14ac:dyDescent="0.25">
      <c r="A63" t="s">
        <v>287</v>
      </c>
      <c r="B63" t="s">
        <v>26</v>
      </c>
      <c r="C63" t="s">
        <v>32</v>
      </c>
      <c r="D63" t="s">
        <v>44</v>
      </c>
      <c r="E63">
        <v>46</v>
      </c>
      <c r="F63" t="s">
        <v>71</v>
      </c>
      <c r="G63">
        <v>0</v>
      </c>
      <c r="H63" t="s">
        <v>286</v>
      </c>
    </row>
    <row r="64" spans="1:8" x14ac:dyDescent="0.25">
      <c r="A64" t="s">
        <v>287</v>
      </c>
      <c r="B64" t="s">
        <v>27</v>
      </c>
      <c r="C64" t="s">
        <v>33</v>
      </c>
      <c r="D64" t="s">
        <v>44</v>
      </c>
      <c r="E64">
        <v>46</v>
      </c>
      <c r="F64" t="s">
        <v>71</v>
      </c>
      <c r="G64">
        <v>0</v>
      </c>
      <c r="H64" t="s">
        <v>286</v>
      </c>
    </row>
    <row r="65" spans="1:8" x14ac:dyDescent="0.25">
      <c r="A65" t="s">
        <v>287</v>
      </c>
      <c r="B65" t="s">
        <v>21</v>
      </c>
      <c r="C65" t="s">
        <v>31</v>
      </c>
      <c r="D65" t="s">
        <v>44</v>
      </c>
      <c r="E65">
        <v>46</v>
      </c>
      <c r="F65" t="s">
        <v>71</v>
      </c>
      <c r="G65">
        <v>0</v>
      </c>
      <c r="H65" t="s">
        <v>286</v>
      </c>
    </row>
    <row r="66" spans="1:8" x14ac:dyDescent="0.25">
      <c r="A66" t="s">
        <v>287</v>
      </c>
      <c r="B66" t="s">
        <v>26</v>
      </c>
      <c r="C66" t="s">
        <v>32</v>
      </c>
      <c r="D66" t="s">
        <v>44</v>
      </c>
      <c r="E66">
        <v>46</v>
      </c>
      <c r="F66" t="s">
        <v>71</v>
      </c>
      <c r="G66">
        <v>0</v>
      </c>
      <c r="H66" t="s">
        <v>286</v>
      </c>
    </row>
    <row r="67" spans="1:8" x14ac:dyDescent="0.25">
      <c r="A67" t="s">
        <v>287</v>
      </c>
      <c r="B67" t="s">
        <v>27</v>
      </c>
      <c r="C67" t="s">
        <v>33</v>
      </c>
      <c r="D67" t="s">
        <v>44</v>
      </c>
      <c r="E67">
        <v>46</v>
      </c>
      <c r="F67" t="s">
        <v>71</v>
      </c>
      <c r="G67">
        <v>0</v>
      </c>
      <c r="H67" t="s">
        <v>286</v>
      </c>
    </row>
    <row r="68" spans="1:8" x14ac:dyDescent="0.25">
      <c r="A68" t="s">
        <v>287</v>
      </c>
      <c r="B68" t="s">
        <v>21</v>
      </c>
      <c r="C68" t="s">
        <v>31</v>
      </c>
      <c r="D68" t="s">
        <v>44</v>
      </c>
      <c r="E68">
        <v>46</v>
      </c>
      <c r="F68" t="s">
        <v>71</v>
      </c>
      <c r="G68">
        <v>0</v>
      </c>
      <c r="H68" t="s">
        <v>286</v>
      </c>
    </row>
    <row r="69" spans="1:8" x14ac:dyDescent="0.25">
      <c r="A69" t="s">
        <v>287</v>
      </c>
      <c r="B69" t="s">
        <v>26</v>
      </c>
      <c r="C69" t="s">
        <v>32</v>
      </c>
      <c r="D69" t="s">
        <v>44</v>
      </c>
      <c r="E69">
        <v>46</v>
      </c>
      <c r="F69" t="s">
        <v>71</v>
      </c>
      <c r="G69">
        <v>0</v>
      </c>
      <c r="H69" t="s">
        <v>286</v>
      </c>
    </row>
    <row r="70" spans="1:8" x14ac:dyDescent="0.25">
      <c r="A70" t="s">
        <v>287</v>
      </c>
      <c r="B70" t="s">
        <v>27</v>
      </c>
      <c r="C70" t="s">
        <v>33</v>
      </c>
      <c r="D70" t="s">
        <v>44</v>
      </c>
      <c r="E70">
        <v>46</v>
      </c>
      <c r="F70" t="s">
        <v>71</v>
      </c>
      <c r="G70">
        <v>0</v>
      </c>
      <c r="H70" t="s">
        <v>286</v>
      </c>
    </row>
    <row r="71" spans="1:8" x14ac:dyDescent="0.25">
      <c r="A71" t="s">
        <v>287</v>
      </c>
      <c r="B71" t="s">
        <v>21</v>
      </c>
      <c r="C71" t="s">
        <v>31</v>
      </c>
      <c r="D71" t="s">
        <v>45</v>
      </c>
      <c r="E71">
        <v>46</v>
      </c>
      <c r="F71" t="s">
        <v>71</v>
      </c>
      <c r="G71">
        <v>0</v>
      </c>
      <c r="H71" t="s">
        <v>286</v>
      </c>
    </row>
    <row r="72" spans="1:8" x14ac:dyDescent="0.25">
      <c r="A72" t="s">
        <v>287</v>
      </c>
      <c r="B72" t="s">
        <v>26</v>
      </c>
      <c r="C72" t="s">
        <v>32</v>
      </c>
      <c r="D72" t="s">
        <v>45</v>
      </c>
      <c r="E72">
        <v>46</v>
      </c>
      <c r="F72" t="s">
        <v>71</v>
      </c>
      <c r="G72">
        <v>0</v>
      </c>
      <c r="H72" t="s">
        <v>286</v>
      </c>
    </row>
    <row r="73" spans="1:8" x14ac:dyDescent="0.25">
      <c r="A73" t="s">
        <v>287</v>
      </c>
      <c r="B73" t="s">
        <v>27</v>
      </c>
      <c r="C73" t="s">
        <v>33</v>
      </c>
      <c r="D73" t="s">
        <v>45</v>
      </c>
      <c r="E73">
        <v>46</v>
      </c>
      <c r="F73" t="s">
        <v>71</v>
      </c>
      <c r="G73">
        <v>0</v>
      </c>
      <c r="H73" t="s">
        <v>286</v>
      </c>
    </row>
    <row r="74" spans="1:8" x14ac:dyDescent="0.25">
      <c r="A74" t="s">
        <v>287</v>
      </c>
      <c r="B74" t="s">
        <v>21</v>
      </c>
      <c r="C74" t="s">
        <v>31</v>
      </c>
      <c r="D74" t="s">
        <v>45</v>
      </c>
      <c r="E74">
        <v>46</v>
      </c>
      <c r="F74" t="s">
        <v>71</v>
      </c>
      <c r="G74">
        <v>0</v>
      </c>
      <c r="H74" t="s">
        <v>286</v>
      </c>
    </row>
    <row r="75" spans="1:8" x14ac:dyDescent="0.25">
      <c r="A75" t="s">
        <v>287</v>
      </c>
      <c r="B75" t="s">
        <v>26</v>
      </c>
      <c r="C75" t="s">
        <v>32</v>
      </c>
      <c r="D75" t="s">
        <v>45</v>
      </c>
      <c r="E75">
        <v>46</v>
      </c>
      <c r="F75" t="s">
        <v>71</v>
      </c>
      <c r="G75">
        <v>0</v>
      </c>
      <c r="H75" t="s">
        <v>286</v>
      </c>
    </row>
    <row r="76" spans="1:8" x14ac:dyDescent="0.25">
      <c r="A76" t="s">
        <v>287</v>
      </c>
      <c r="B76" t="s">
        <v>27</v>
      </c>
      <c r="C76" t="s">
        <v>33</v>
      </c>
      <c r="D76" t="s">
        <v>45</v>
      </c>
      <c r="E76">
        <v>46</v>
      </c>
      <c r="F76" t="s">
        <v>71</v>
      </c>
      <c r="G76">
        <v>0</v>
      </c>
      <c r="H76" t="s">
        <v>286</v>
      </c>
    </row>
    <row r="77" spans="1:8" x14ac:dyDescent="0.25">
      <c r="A77" t="s">
        <v>287</v>
      </c>
      <c r="B77" t="s">
        <v>21</v>
      </c>
      <c r="C77" t="s">
        <v>31</v>
      </c>
      <c r="D77" t="s">
        <v>45</v>
      </c>
      <c r="E77">
        <v>46</v>
      </c>
      <c r="F77" t="s">
        <v>71</v>
      </c>
      <c r="G77">
        <v>0</v>
      </c>
      <c r="H77" t="s">
        <v>286</v>
      </c>
    </row>
    <row r="78" spans="1:8" x14ac:dyDescent="0.25">
      <c r="A78" t="s">
        <v>287</v>
      </c>
      <c r="B78" t="s">
        <v>26</v>
      </c>
      <c r="C78" t="s">
        <v>32</v>
      </c>
      <c r="D78" t="s">
        <v>45</v>
      </c>
      <c r="E78">
        <v>46</v>
      </c>
      <c r="F78" t="s">
        <v>71</v>
      </c>
      <c r="G78">
        <v>0</v>
      </c>
      <c r="H78" t="s">
        <v>286</v>
      </c>
    </row>
    <row r="79" spans="1:8" x14ac:dyDescent="0.25">
      <c r="A79" t="s">
        <v>287</v>
      </c>
      <c r="B79" t="s">
        <v>27</v>
      </c>
      <c r="C79" t="s">
        <v>33</v>
      </c>
      <c r="D79" t="s">
        <v>45</v>
      </c>
      <c r="E79">
        <v>46</v>
      </c>
      <c r="F79" t="s">
        <v>71</v>
      </c>
      <c r="G79">
        <v>0</v>
      </c>
      <c r="H79" t="s">
        <v>286</v>
      </c>
    </row>
    <row r="80" spans="1:8" x14ac:dyDescent="0.25">
      <c r="A80" t="s">
        <v>287</v>
      </c>
      <c r="B80" t="s">
        <v>21</v>
      </c>
      <c r="C80" t="s">
        <v>31</v>
      </c>
      <c r="D80" t="s">
        <v>46</v>
      </c>
      <c r="E80">
        <v>46</v>
      </c>
      <c r="F80" t="s">
        <v>71</v>
      </c>
      <c r="G80">
        <v>0</v>
      </c>
      <c r="H80" t="s">
        <v>286</v>
      </c>
    </row>
    <row r="81" spans="1:8" x14ac:dyDescent="0.25">
      <c r="A81" t="s">
        <v>287</v>
      </c>
      <c r="B81" t="s">
        <v>26</v>
      </c>
      <c r="C81" t="s">
        <v>32</v>
      </c>
      <c r="D81" t="s">
        <v>46</v>
      </c>
      <c r="E81">
        <v>46</v>
      </c>
      <c r="F81" t="s">
        <v>71</v>
      </c>
      <c r="G81">
        <v>0</v>
      </c>
      <c r="H81" t="s">
        <v>286</v>
      </c>
    </row>
    <row r="82" spans="1:8" x14ac:dyDescent="0.25">
      <c r="A82" t="s">
        <v>287</v>
      </c>
      <c r="B82" t="s">
        <v>27</v>
      </c>
      <c r="C82" t="s">
        <v>33</v>
      </c>
      <c r="D82" t="s">
        <v>46</v>
      </c>
      <c r="E82">
        <v>46</v>
      </c>
      <c r="F82" t="s">
        <v>71</v>
      </c>
      <c r="G82">
        <v>0</v>
      </c>
      <c r="H82" t="s">
        <v>286</v>
      </c>
    </row>
    <row r="83" spans="1:8" x14ac:dyDescent="0.25">
      <c r="A83" t="s">
        <v>287</v>
      </c>
      <c r="B83" t="s">
        <v>21</v>
      </c>
      <c r="C83" t="s">
        <v>31</v>
      </c>
      <c r="D83" t="s">
        <v>46</v>
      </c>
      <c r="E83">
        <v>46</v>
      </c>
      <c r="F83" t="s">
        <v>71</v>
      </c>
      <c r="G83">
        <v>0</v>
      </c>
      <c r="H83" t="s">
        <v>286</v>
      </c>
    </row>
    <row r="84" spans="1:8" x14ac:dyDescent="0.25">
      <c r="A84" t="s">
        <v>287</v>
      </c>
      <c r="B84" t="s">
        <v>26</v>
      </c>
      <c r="C84" t="s">
        <v>32</v>
      </c>
      <c r="D84" t="s">
        <v>46</v>
      </c>
      <c r="E84">
        <v>46</v>
      </c>
      <c r="F84" t="s">
        <v>71</v>
      </c>
      <c r="G84">
        <v>0</v>
      </c>
      <c r="H84" t="s">
        <v>286</v>
      </c>
    </row>
    <row r="85" spans="1:8" x14ac:dyDescent="0.25">
      <c r="A85" t="s">
        <v>287</v>
      </c>
      <c r="B85" t="s">
        <v>27</v>
      </c>
      <c r="C85" t="s">
        <v>33</v>
      </c>
      <c r="D85" t="s">
        <v>46</v>
      </c>
      <c r="E85">
        <v>46</v>
      </c>
      <c r="F85" t="s">
        <v>71</v>
      </c>
      <c r="G85">
        <v>0</v>
      </c>
      <c r="H85" t="s">
        <v>286</v>
      </c>
    </row>
    <row r="86" spans="1:8" x14ac:dyDescent="0.25">
      <c r="A86" t="s">
        <v>287</v>
      </c>
      <c r="B86" t="s">
        <v>21</v>
      </c>
      <c r="C86" t="s">
        <v>31</v>
      </c>
      <c r="D86" t="s">
        <v>46</v>
      </c>
      <c r="E86">
        <v>46</v>
      </c>
      <c r="F86" t="s">
        <v>71</v>
      </c>
      <c r="G86">
        <v>0</v>
      </c>
      <c r="H86" t="s">
        <v>286</v>
      </c>
    </row>
    <row r="87" spans="1:8" x14ac:dyDescent="0.25">
      <c r="A87" t="s">
        <v>287</v>
      </c>
      <c r="B87" t="s">
        <v>26</v>
      </c>
      <c r="C87" t="s">
        <v>32</v>
      </c>
      <c r="D87" t="s">
        <v>46</v>
      </c>
      <c r="E87">
        <v>46</v>
      </c>
      <c r="F87" t="s">
        <v>71</v>
      </c>
      <c r="G87">
        <v>0</v>
      </c>
      <c r="H87" t="s">
        <v>286</v>
      </c>
    </row>
    <row r="88" spans="1:8" x14ac:dyDescent="0.25">
      <c r="A88" t="s">
        <v>287</v>
      </c>
      <c r="B88" t="s">
        <v>27</v>
      </c>
      <c r="C88" t="s">
        <v>33</v>
      </c>
      <c r="D88" t="s">
        <v>46</v>
      </c>
      <c r="E88">
        <v>46</v>
      </c>
      <c r="F88" t="s">
        <v>71</v>
      </c>
      <c r="G88">
        <v>0</v>
      </c>
      <c r="H88" t="s">
        <v>286</v>
      </c>
    </row>
    <row r="89" spans="1:8" x14ac:dyDescent="0.25">
      <c r="A89" t="s">
        <v>287</v>
      </c>
      <c r="B89" t="s">
        <v>21</v>
      </c>
      <c r="C89" t="s">
        <v>31</v>
      </c>
      <c r="D89" t="s">
        <v>44</v>
      </c>
      <c r="E89">
        <v>46</v>
      </c>
      <c r="F89" t="s">
        <v>72</v>
      </c>
      <c r="G89">
        <v>0</v>
      </c>
      <c r="H89" t="s">
        <v>286</v>
      </c>
    </row>
    <row r="90" spans="1:8" x14ac:dyDescent="0.25">
      <c r="A90" t="s">
        <v>287</v>
      </c>
      <c r="B90" t="s">
        <v>26</v>
      </c>
      <c r="C90" t="s">
        <v>32</v>
      </c>
      <c r="D90" t="s">
        <v>44</v>
      </c>
      <c r="E90">
        <v>46</v>
      </c>
      <c r="F90" t="s">
        <v>72</v>
      </c>
      <c r="G90">
        <v>0</v>
      </c>
      <c r="H90" t="s">
        <v>286</v>
      </c>
    </row>
    <row r="91" spans="1:8" x14ac:dyDescent="0.25">
      <c r="A91" t="s">
        <v>287</v>
      </c>
      <c r="B91" t="s">
        <v>27</v>
      </c>
      <c r="C91" t="s">
        <v>33</v>
      </c>
      <c r="D91" t="s">
        <v>44</v>
      </c>
      <c r="E91">
        <v>46</v>
      </c>
      <c r="F91" t="s">
        <v>72</v>
      </c>
      <c r="G91">
        <v>0</v>
      </c>
      <c r="H91" t="s">
        <v>286</v>
      </c>
    </row>
    <row r="92" spans="1:8" x14ac:dyDescent="0.25">
      <c r="A92" t="s">
        <v>287</v>
      </c>
      <c r="B92" t="s">
        <v>21</v>
      </c>
      <c r="C92" t="s">
        <v>31</v>
      </c>
      <c r="D92" t="s">
        <v>44</v>
      </c>
      <c r="E92">
        <v>46</v>
      </c>
      <c r="F92" t="s">
        <v>72</v>
      </c>
      <c r="G92">
        <v>0</v>
      </c>
      <c r="H92" t="s">
        <v>286</v>
      </c>
    </row>
    <row r="93" spans="1:8" x14ac:dyDescent="0.25">
      <c r="A93" t="s">
        <v>287</v>
      </c>
      <c r="B93" t="s">
        <v>26</v>
      </c>
      <c r="C93" t="s">
        <v>32</v>
      </c>
      <c r="D93" t="s">
        <v>44</v>
      </c>
      <c r="E93">
        <v>46</v>
      </c>
      <c r="F93" t="s">
        <v>72</v>
      </c>
      <c r="G93">
        <v>0</v>
      </c>
      <c r="H93" t="s">
        <v>286</v>
      </c>
    </row>
    <row r="94" spans="1:8" x14ac:dyDescent="0.25">
      <c r="A94" t="s">
        <v>287</v>
      </c>
      <c r="B94" t="s">
        <v>27</v>
      </c>
      <c r="C94" t="s">
        <v>33</v>
      </c>
      <c r="D94" t="s">
        <v>44</v>
      </c>
      <c r="E94">
        <v>46</v>
      </c>
      <c r="F94" t="s">
        <v>72</v>
      </c>
      <c r="G94">
        <v>0</v>
      </c>
      <c r="H94" t="s">
        <v>286</v>
      </c>
    </row>
    <row r="95" spans="1:8" x14ac:dyDescent="0.25">
      <c r="A95" t="s">
        <v>287</v>
      </c>
      <c r="B95" t="s">
        <v>21</v>
      </c>
      <c r="C95" t="s">
        <v>31</v>
      </c>
      <c r="D95" t="s">
        <v>44</v>
      </c>
      <c r="E95">
        <v>46</v>
      </c>
      <c r="F95" t="s">
        <v>72</v>
      </c>
      <c r="G95">
        <v>0</v>
      </c>
      <c r="H95" t="s">
        <v>286</v>
      </c>
    </row>
    <row r="96" spans="1:8" x14ac:dyDescent="0.25">
      <c r="A96" t="s">
        <v>287</v>
      </c>
      <c r="B96" t="s">
        <v>26</v>
      </c>
      <c r="C96" t="s">
        <v>32</v>
      </c>
      <c r="D96" t="s">
        <v>44</v>
      </c>
      <c r="E96">
        <v>46</v>
      </c>
      <c r="F96" t="s">
        <v>72</v>
      </c>
      <c r="G96">
        <v>0</v>
      </c>
      <c r="H96" t="s">
        <v>286</v>
      </c>
    </row>
    <row r="97" spans="1:8" x14ac:dyDescent="0.25">
      <c r="A97" t="s">
        <v>287</v>
      </c>
      <c r="B97" t="s">
        <v>27</v>
      </c>
      <c r="C97" t="s">
        <v>33</v>
      </c>
      <c r="D97" t="s">
        <v>44</v>
      </c>
      <c r="E97">
        <v>46</v>
      </c>
      <c r="F97" t="s">
        <v>72</v>
      </c>
      <c r="G97">
        <v>0</v>
      </c>
      <c r="H97" t="s">
        <v>286</v>
      </c>
    </row>
    <row r="98" spans="1:8" x14ac:dyDescent="0.25">
      <c r="A98" t="s">
        <v>287</v>
      </c>
      <c r="B98" t="s">
        <v>21</v>
      </c>
      <c r="C98" t="s">
        <v>31</v>
      </c>
      <c r="D98" t="s">
        <v>45</v>
      </c>
      <c r="E98">
        <v>46</v>
      </c>
      <c r="F98" t="s">
        <v>72</v>
      </c>
      <c r="G98">
        <v>0</v>
      </c>
      <c r="H98" t="s">
        <v>286</v>
      </c>
    </row>
    <row r="99" spans="1:8" x14ac:dyDescent="0.25">
      <c r="A99" t="s">
        <v>287</v>
      </c>
      <c r="B99" t="s">
        <v>26</v>
      </c>
      <c r="C99" t="s">
        <v>32</v>
      </c>
      <c r="D99" t="s">
        <v>45</v>
      </c>
      <c r="E99">
        <v>46</v>
      </c>
      <c r="F99" t="s">
        <v>72</v>
      </c>
      <c r="G99">
        <v>0</v>
      </c>
      <c r="H99" t="s">
        <v>286</v>
      </c>
    </row>
    <row r="100" spans="1:8" x14ac:dyDescent="0.25">
      <c r="A100" t="s">
        <v>287</v>
      </c>
      <c r="B100" t="s">
        <v>27</v>
      </c>
      <c r="C100" t="s">
        <v>33</v>
      </c>
      <c r="D100" t="s">
        <v>45</v>
      </c>
      <c r="E100">
        <v>46</v>
      </c>
      <c r="F100" t="s">
        <v>72</v>
      </c>
      <c r="G100">
        <v>0</v>
      </c>
      <c r="H100" t="s">
        <v>286</v>
      </c>
    </row>
    <row r="101" spans="1:8" x14ac:dyDescent="0.25">
      <c r="A101" t="s">
        <v>287</v>
      </c>
      <c r="B101" t="s">
        <v>21</v>
      </c>
      <c r="C101" t="s">
        <v>31</v>
      </c>
      <c r="D101" t="s">
        <v>45</v>
      </c>
      <c r="E101">
        <v>46</v>
      </c>
      <c r="F101" t="s">
        <v>72</v>
      </c>
      <c r="G101">
        <v>0</v>
      </c>
      <c r="H101" t="s">
        <v>286</v>
      </c>
    </row>
    <row r="102" spans="1:8" x14ac:dyDescent="0.25">
      <c r="A102" t="s">
        <v>287</v>
      </c>
      <c r="B102" t="s">
        <v>26</v>
      </c>
      <c r="C102" t="s">
        <v>32</v>
      </c>
      <c r="D102" t="s">
        <v>45</v>
      </c>
      <c r="E102">
        <v>46</v>
      </c>
      <c r="F102" t="s">
        <v>72</v>
      </c>
      <c r="G102">
        <v>0</v>
      </c>
      <c r="H102" t="s">
        <v>286</v>
      </c>
    </row>
    <row r="103" spans="1:8" x14ac:dyDescent="0.25">
      <c r="A103" t="s">
        <v>287</v>
      </c>
      <c r="B103" t="s">
        <v>27</v>
      </c>
      <c r="C103" t="s">
        <v>33</v>
      </c>
      <c r="D103" t="s">
        <v>45</v>
      </c>
      <c r="E103">
        <v>46</v>
      </c>
      <c r="F103" t="s">
        <v>72</v>
      </c>
      <c r="G103">
        <v>0</v>
      </c>
      <c r="H103" t="s">
        <v>286</v>
      </c>
    </row>
    <row r="104" spans="1:8" x14ac:dyDescent="0.25">
      <c r="A104" t="s">
        <v>287</v>
      </c>
      <c r="B104" t="s">
        <v>21</v>
      </c>
      <c r="C104" t="s">
        <v>31</v>
      </c>
      <c r="D104" t="s">
        <v>45</v>
      </c>
      <c r="E104">
        <v>46</v>
      </c>
      <c r="F104" t="s">
        <v>72</v>
      </c>
      <c r="G104">
        <v>0</v>
      </c>
      <c r="H104" t="s">
        <v>286</v>
      </c>
    </row>
    <row r="105" spans="1:8" x14ac:dyDescent="0.25">
      <c r="A105" t="s">
        <v>287</v>
      </c>
      <c r="B105" t="s">
        <v>26</v>
      </c>
      <c r="C105" t="s">
        <v>32</v>
      </c>
      <c r="D105" t="s">
        <v>45</v>
      </c>
      <c r="E105">
        <v>46</v>
      </c>
      <c r="F105" t="s">
        <v>72</v>
      </c>
      <c r="G105">
        <v>0</v>
      </c>
      <c r="H105" t="s">
        <v>286</v>
      </c>
    </row>
    <row r="106" spans="1:8" x14ac:dyDescent="0.25">
      <c r="A106" t="s">
        <v>287</v>
      </c>
      <c r="B106" t="s">
        <v>27</v>
      </c>
      <c r="C106" t="s">
        <v>33</v>
      </c>
      <c r="D106" t="s">
        <v>45</v>
      </c>
      <c r="E106">
        <v>46</v>
      </c>
      <c r="F106" t="s">
        <v>72</v>
      </c>
      <c r="G106">
        <v>0</v>
      </c>
      <c r="H106" t="s">
        <v>286</v>
      </c>
    </row>
    <row r="107" spans="1:8" x14ac:dyDescent="0.25">
      <c r="A107" t="s">
        <v>287</v>
      </c>
      <c r="B107" t="s">
        <v>21</v>
      </c>
      <c r="C107" t="s">
        <v>31</v>
      </c>
      <c r="D107" t="s">
        <v>46</v>
      </c>
      <c r="E107">
        <v>46</v>
      </c>
      <c r="F107" t="s">
        <v>72</v>
      </c>
      <c r="G107">
        <v>0</v>
      </c>
      <c r="H107" t="s">
        <v>286</v>
      </c>
    </row>
    <row r="108" spans="1:8" x14ac:dyDescent="0.25">
      <c r="A108" t="s">
        <v>287</v>
      </c>
      <c r="B108" t="s">
        <v>26</v>
      </c>
      <c r="C108" t="s">
        <v>32</v>
      </c>
      <c r="D108" t="s">
        <v>46</v>
      </c>
      <c r="E108">
        <v>46</v>
      </c>
      <c r="F108" t="s">
        <v>72</v>
      </c>
      <c r="G108">
        <v>0</v>
      </c>
      <c r="H108" t="s">
        <v>286</v>
      </c>
    </row>
    <row r="109" spans="1:8" x14ac:dyDescent="0.25">
      <c r="A109" t="s">
        <v>287</v>
      </c>
      <c r="B109" t="s">
        <v>27</v>
      </c>
      <c r="C109" t="s">
        <v>33</v>
      </c>
      <c r="D109" t="s">
        <v>46</v>
      </c>
      <c r="E109">
        <v>46</v>
      </c>
      <c r="F109" t="s">
        <v>72</v>
      </c>
      <c r="G109">
        <v>0</v>
      </c>
      <c r="H109" t="s">
        <v>286</v>
      </c>
    </row>
    <row r="110" spans="1:8" x14ac:dyDescent="0.25">
      <c r="A110" t="s">
        <v>287</v>
      </c>
      <c r="B110" t="s">
        <v>21</v>
      </c>
      <c r="C110" t="s">
        <v>31</v>
      </c>
      <c r="D110" t="s">
        <v>46</v>
      </c>
      <c r="E110">
        <v>46</v>
      </c>
      <c r="F110" t="s">
        <v>72</v>
      </c>
      <c r="G110">
        <v>0</v>
      </c>
      <c r="H110" t="s">
        <v>286</v>
      </c>
    </row>
    <row r="111" spans="1:8" x14ac:dyDescent="0.25">
      <c r="A111" t="s">
        <v>287</v>
      </c>
      <c r="B111" t="s">
        <v>26</v>
      </c>
      <c r="C111" t="s">
        <v>32</v>
      </c>
      <c r="D111" t="s">
        <v>46</v>
      </c>
      <c r="E111">
        <v>46</v>
      </c>
      <c r="F111" t="s">
        <v>72</v>
      </c>
      <c r="G111">
        <v>0</v>
      </c>
      <c r="H111" t="s">
        <v>286</v>
      </c>
    </row>
    <row r="112" spans="1:8" x14ac:dyDescent="0.25">
      <c r="A112" t="s">
        <v>287</v>
      </c>
      <c r="B112" t="s">
        <v>27</v>
      </c>
      <c r="C112" t="s">
        <v>33</v>
      </c>
      <c r="D112" t="s">
        <v>46</v>
      </c>
      <c r="E112">
        <v>46</v>
      </c>
      <c r="F112" t="s">
        <v>72</v>
      </c>
      <c r="G112">
        <v>0</v>
      </c>
      <c r="H112" t="s">
        <v>286</v>
      </c>
    </row>
    <row r="113" spans="1:8" x14ac:dyDescent="0.25">
      <c r="A113" t="s">
        <v>287</v>
      </c>
      <c r="B113" t="s">
        <v>21</v>
      </c>
      <c r="C113" t="s">
        <v>31</v>
      </c>
      <c r="D113" t="s">
        <v>46</v>
      </c>
      <c r="E113">
        <v>46</v>
      </c>
      <c r="F113" t="s">
        <v>72</v>
      </c>
      <c r="G113">
        <v>0</v>
      </c>
      <c r="H113" t="s">
        <v>286</v>
      </c>
    </row>
    <row r="114" spans="1:8" x14ac:dyDescent="0.25">
      <c r="A114" t="s">
        <v>287</v>
      </c>
      <c r="B114" t="s">
        <v>26</v>
      </c>
      <c r="C114" t="s">
        <v>32</v>
      </c>
      <c r="D114" t="s">
        <v>46</v>
      </c>
      <c r="E114">
        <v>46</v>
      </c>
      <c r="F114" t="s">
        <v>72</v>
      </c>
      <c r="G114">
        <v>0</v>
      </c>
      <c r="H114" t="s">
        <v>286</v>
      </c>
    </row>
    <row r="115" spans="1:8" x14ac:dyDescent="0.25">
      <c r="A115" t="s">
        <v>287</v>
      </c>
      <c r="B115" t="s">
        <v>27</v>
      </c>
      <c r="C115" t="s">
        <v>33</v>
      </c>
      <c r="D115" t="s">
        <v>46</v>
      </c>
      <c r="E115">
        <v>46</v>
      </c>
      <c r="F115" t="s">
        <v>72</v>
      </c>
      <c r="G115">
        <v>0</v>
      </c>
      <c r="H115" t="s">
        <v>286</v>
      </c>
    </row>
    <row r="116" spans="1:8" x14ac:dyDescent="0.25">
      <c r="A116" t="s">
        <v>287</v>
      </c>
      <c r="B116" t="s">
        <v>21</v>
      </c>
      <c r="C116" t="s">
        <v>31</v>
      </c>
      <c r="D116" t="s">
        <v>44</v>
      </c>
      <c r="E116">
        <v>46</v>
      </c>
      <c r="F116" t="s">
        <v>73</v>
      </c>
      <c r="G116">
        <v>0</v>
      </c>
      <c r="H116" t="s">
        <v>286</v>
      </c>
    </row>
    <row r="117" spans="1:8" x14ac:dyDescent="0.25">
      <c r="A117" t="s">
        <v>287</v>
      </c>
      <c r="B117" t="s">
        <v>26</v>
      </c>
      <c r="C117" t="s">
        <v>32</v>
      </c>
      <c r="D117" t="s">
        <v>44</v>
      </c>
      <c r="E117">
        <v>46</v>
      </c>
      <c r="F117" t="s">
        <v>73</v>
      </c>
      <c r="G117">
        <v>0</v>
      </c>
      <c r="H117" t="s">
        <v>286</v>
      </c>
    </row>
    <row r="118" spans="1:8" x14ac:dyDescent="0.25">
      <c r="A118" t="s">
        <v>287</v>
      </c>
      <c r="B118" t="s">
        <v>27</v>
      </c>
      <c r="C118" t="s">
        <v>33</v>
      </c>
      <c r="D118" t="s">
        <v>44</v>
      </c>
      <c r="E118">
        <v>46</v>
      </c>
      <c r="F118" t="s">
        <v>73</v>
      </c>
      <c r="G118">
        <v>0</v>
      </c>
      <c r="H118" t="s">
        <v>286</v>
      </c>
    </row>
    <row r="119" spans="1:8" x14ac:dyDescent="0.25">
      <c r="A119" t="s">
        <v>287</v>
      </c>
      <c r="B119" t="s">
        <v>21</v>
      </c>
      <c r="C119" t="s">
        <v>31</v>
      </c>
      <c r="D119" t="s">
        <v>44</v>
      </c>
      <c r="E119">
        <v>46</v>
      </c>
      <c r="F119" t="s">
        <v>73</v>
      </c>
      <c r="G119">
        <v>0</v>
      </c>
      <c r="H119" t="s">
        <v>286</v>
      </c>
    </row>
    <row r="120" spans="1:8" x14ac:dyDescent="0.25">
      <c r="A120" t="s">
        <v>287</v>
      </c>
      <c r="B120" t="s">
        <v>26</v>
      </c>
      <c r="C120" t="s">
        <v>32</v>
      </c>
      <c r="D120" t="s">
        <v>44</v>
      </c>
      <c r="E120">
        <v>46</v>
      </c>
      <c r="F120" t="s">
        <v>73</v>
      </c>
      <c r="G120">
        <v>0</v>
      </c>
      <c r="H120" t="s">
        <v>286</v>
      </c>
    </row>
    <row r="121" spans="1:8" x14ac:dyDescent="0.25">
      <c r="A121" t="s">
        <v>287</v>
      </c>
      <c r="B121" t="s">
        <v>27</v>
      </c>
      <c r="C121" t="s">
        <v>33</v>
      </c>
      <c r="D121" t="s">
        <v>44</v>
      </c>
      <c r="E121">
        <v>46</v>
      </c>
      <c r="F121" t="s">
        <v>73</v>
      </c>
      <c r="G121">
        <v>0</v>
      </c>
      <c r="H121" t="s">
        <v>286</v>
      </c>
    </row>
    <row r="122" spans="1:8" x14ac:dyDescent="0.25">
      <c r="A122" t="s">
        <v>287</v>
      </c>
      <c r="B122" t="s">
        <v>21</v>
      </c>
      <c r="C122" t="s">
        <v>31</v>
      </c>
      <c r="D122" t="s">
        <v>44</v>
      </c>
      <c r="E122">
        <v>46</v>
      </c>
      <c r="F122" t="s">
        <v>73</v>
      </c>
      <c r="G122">
        <v>0</v>
      </c>
      <c r="H122" t="s">
        <v>286</v>
      </c>
    </row>
    <row r="123" spans="1:8" x14ac:dyDescent="0.25">
      <c r="A123" t="s">
        <v>287</v>
      </c>
      <c r="B123" t="s">
        <v>26</v>
      </c>
      <c r="C123" t="s">
        <v>32</v>
      </c>
      <c r="D123" t="s">
        <v>44</v>
      </c>
      <c r="E123">
        <v>46</v>
      </c>
      <c r="F123" t="s">
        <v>73</v>
      </c>
      <c r="G123">
        <v>0</v>
      </c>
      <c r="H123" t="s">
        <v>286</v>
      </c>
    </row>
    <row r="124" spans="1:8" x14ac:dyDescent="0.25">
      <c r="A124" t="s">
        <v>287</v>
      </c>
      <c r="B124" t="s">
        <v>27</v>
      </c>
      <c r="C124" t="s">
        <v>33</v>
      </c>
      <c r="D124" t="s">
        <v>44</v>
      </c>
      <c r="E124">
        <v>46</v>
      </c>
      <c r="F124" t="s">
        <v>73</v>
      </c>
      <c r="G124">
        <v>0</v>
      </c>
      <c r="H124" t="s">
        <v>286</v>
      </c>
    </row>
    <row r="125" spans="1:8" x14ac:dyDescent="0.25">
      <c r="A125" t="s">
        <v>287</v>
      </c>
      <c r="B125" t="s">
        <v>21</v>
      </c>
      <c r="C125" t="s">
        <v>31</v>
      </c>
      <c r="D125" t="s">
        <v>45</v>
      </c>
      <c r="E125">
        <v>46</v>
      </c>
      <c r="F125" t="s">
        <v>73</v>
      </c>
      <c r="G125">
        <v>0</v>
      </c>
      <c r="H125" t="s">
        <v>286</v>
      </c>
    </row>
    <row r="126" spans="1:8" x14ac:dyDescent="0.25">
      <c r="A126" t="s">
        <v>287</v>
      </c>
      <c r="B126" t="s">
        <v>26</v>
      </c>
      <c r="C126" t="s">
        <v>32</v>
      </c>
      <c r="D126" t="s">
        <v>45</v>
      </c>
      <c r="E126">
        <v>46</v>
      </c>
      <c r="F126" t="s">
        <v>73</v>
      </c>
      <c r="G126">
        <v>0</v>
      </c>
      <c r="H126" t="s">
        <v>286</v>
      </c>
    </row>
    <row r="127" spans="1:8" x14ac:dyDescent="0.25">
      <c r="A127" t="s">
        <v>287</v>
      </c>
      <c r="B127" t="s">
        <v>27</v>
      </c>
      <c r="C127" t="s">
        <v>33</v>
      </c>
      <c r="D127" t="s">
        <v>45</v>
      </c>
      <c r="E127">
        <v>46</v>
      </c>
      <c r="F127" t="s">
        <v>73</v>
      </c>
      <c r="G127">
        <v>0</v>
      </c>
      <c r="H127" t="s">
        <v>286</v>
      </c>
    </row>
    <row r="128" spans="1:8" x14ac:dyDescent="0.25">
      <c r="A128" t="s">
        <v>287</v>
      </c>
      <c r="B128" t="s">
        <v>21</v>
      </c>
      <c r="C128" t="s">
        <v>31</v>
      </c>
      <c r="D128" t="s">
        <v>45</v>
      </c>
      <c r="E128">
        <v>46</v>
      </c>
      <c r="F128" t="s">
        <v>73</v>
      </c>
      <c r="G128">
        <v>0</v>
      </c>
      <c r="H128" t="s">
        <v>286</v>
      </c>
    </row>
    <row r="129" spans="1:8" x14ac:dyDescent="0.25">
      <c r="A129" t="s">
        <v>287</v>
      </c>
      <c r="B129" t="s">
        <v>26</v>
      </c>
      <c r="C129" t="s">
        <v>32</v>
      </c>
      <c r="D129" t="s">
        <v>45</v>
      </c>
      <c r="E129">
        <v>46</v>
      </c>
      <c r="F129" t="s">
        <v>73</v>
      </c>
      <c r="G129">
        <v>0</v>
      </c>
      <c r="H129" t="s">
        <v>286</v>
      </c>
    </row>
    <row r="130" spans="1:8" x14ac:dyDescent="0.25">
      <c r="A130" t="s">
        <v>287</v>
      </c>
      <c r="B130" t="s">
        <v>27</v>
      </c>
      <c r="C130" t="s">
        <v>33</v>
      </c>
      <c r="D130" t="s">
        <v>45</v>
      </c>
      <c r="E130">
        <v>46</v>
      </c>
      <c r="F130" t="s">
        <v>73</v>
      </c>
      <c r="G130">
        <v>0</v>
      </c>
      <c r="H130" t="s">
        <v>286</v>
      </c>
    </row>
    <row r="131" spans="1:8" x14ac:dyDescent="0.25">
      <c r="A131" t="s">
        <v>287</v>
      </c>
      <c r="B131" t="s">
        <v>21</v>
      </c>
      <c r="C131" t="s">
        <v>31</v>
      </c>
      <c r="D131" t="s">
        <v>45</v>
      </c>
      <c r="E131">
        <v>46</v>
      </c>
      <c r="F131" t="s">
        <v>73</v>
      </c>
      <c r="G131">
        <v>0</v>
      </c>
      <c r="H131" t="s">
        <v>286</v>
      </c>
    </row>
    <row r="132" spans="1:8" x14ac:dyDescent="0.25">
      <c r="A132" t="s">
        <v>287</v>
      </c>
      <c r="B132" t="s">
        <v>26</v>
      </c>
      <c r="C132" t="s">
        <v>32</v>
      </c>
      <c r="D132" t="s">
        <v>45</v>
      </c>
      <c r="E132">
        <v>46</v>
      </c>
      <c r="F132" t="s">
        <v>73</v>
      </c>
      <c r="G132">
        <v>0</v>
      </c>
      <c r="H132" t="s">
        <v>286</v>
      </c>
    </row>
    <row r="133" spans="1:8" x14ac:dyDescent="0.25">
      <c r="A133" t="s">
        <v>287</v>
      </c>
      <c r="B133" t="s">
        <v>27</v>
      </c>
      <c r="C133" t="s">
        <v>33</v>
      </c>
      <c r="D133" t="s">
        <v>45</v>
      </c>
      <c r="E133">
        <v>46</v>
      </c>
      <c r="F133" t="s">
        <v>73</v>
      </c>
      <c r="G133">
        <v>0</v>
      </c>
      <c r="H133" t="s">
        <v>286</v>
      </c>
    </row>
    <row r="134" spans="1:8" x14ac:dyDescent="0.25">
      <c r="A134" t="s">
        <v>287</v>
      </c>
      <c r="B134" t="s">
        <v>21</v>
      </c>
      <c r="C134" t="s">
        <v>31</v>
      </c>
      <c r="D134" t="s">
        <v>46</v>
      </c>
      <c r="E134">
        <v>46</v>
      </c>
      <c r="F134" t="s">
        <v>73</v>
      </c>
      <c r="G134">
        <v>0</v>
      </c>
      <c r="H134" t="s">
        <v>286</v>
      </c>
    </row>
    <row r="135" spans="1:8" x14ac:dyDescent="0.25">
      <c r="A135" t="s">
        <v>287</v>
      </c>
      <c r="B135" t="s">
        <v>26</v>
      </c>
      <c r="C135" t="s">
        <v>32</v>
      </c>
      <c r="D135" t="s">
        <v>46</v>
      </c>
      <c r="E135">
        <v>46</v>
      </c>
      <c r="F135" t="s">
        <v>73</v>
      </c>
      <c r="G135">
        <v>0</v>
      </c>
      <c r="H135" t="s">
        <v>286</v>
      </c>
    </row>
    <row r="136" spans="1:8" x14ac:dyDescent="0.25">
      <c r="A136" t="s">
        <v>287</v>
      </c>
      <c r="B136" t="s">
        <v>27</v>
      </c>
      <c r="C136" t="s">
        <v>33</v>
      </c>
      <c r="D136" t="s">
        <v>46</v>
      </c>
      <c r="E136">
        <v>46</v>
      </c>
      <c r="F136" t="s">
        <v>73</v>
      </c>
      <c r="G136">
        <v>0</v>
      </c>
      <c r="H136" t="s">
        <v>286</v>
      </c>
    </row>
    <row r="137" spans="1:8" x14ac:dyDescent="0.25">
      <c r="A137" t="s">
        <v>287</v>
      </c>
      <c r="B137" t="s">
        <v>21</v>
      </c>
      <c r="C137" t="s">
        <v>31</v>
      </c>
      <c r="D137" t="s">
        <v>46</v>
      </c>
      <c r="E137">
        <v>46</v>
      </c>
      <c r="F137" t="s">
        <v>73</v>
      </c>
      <c r="G137">
        <v>0</v>
      </c>
      <c r="H137" t="s">
        <v>286</v>
      </c>
    </row>
    <row r="138" spans="1:8" x14ac:dyDescent="0.25">
      <c r="A138" t="s">
        <v>287</v>
      </c>
      <c r="B138" t="s">
        <v>26</v>
      </c>
      <c r="C138" t="s">
        <v>32</v>
      </c>
      <c r="D138" t="s">
        <v>46</v>
      </c>
      <c r="E138">
        <v>46</v>
      </c>
      <c r="F138" t="s">
        <v>73</v>
      </c>
      <c r="G138">
        <v>0</v>
      </c>
      <c r="H138" t="s">
        <v>286</v>
      </c>
    </row>
    <row r="139" spans="1:8" x14ac:dyDescent="0.25">
      <c r="A139" t="s">
        <v>287</v>
      </c>
      <c r="B139" t="s">
        <v>27</v>
      </c>
      <c r="C139" t="s">
        <v>33</v>
      </c>
      <c r="D139" t="s">
        <v>46</v>
      </c>
      <c r="E139">
        <v>46</v>
      </c>
      <c r="F139" t="s">
        <v>73</v>
      </c>
      <c r="G139">
        <v>0</v>
      </c>
      <c r="H139" t="s">
        <v>286</v>
      </c>
    </row>
    <row r="140" spans="1:8" x14ac:dyDescent="0.25">
      <c r="A140" t="s">
        <v>287</v>
      </c>
      <c r="B140" t="s">
        <v>21</v>
      </c>
      <c r="C140" t="s">
        <v>31</v>
      </c>
      <c r="D140" t="s">
        <v>46</v>
      </c>
      <c r="E140">
        <v>46</v>
      </c>
      <c r="F140" t="s">
        <v>73</v>
      </c>
      <c r="G140">
        <v>0</v>
      </c>
      <c r="H140" t="s">
        <v>286</v>
      </c>
    </row>
    <row r="141" spans="1:8" x14ac:dyDescent="0.25">
      <c r="A141" t="s">
        <v>287</v>
      </c>
      <c r="B141" t="s">
        <v>26</v>
      </c>
      <c r="C141" t="s">
        <v>32</v>
      </c>
      <c r="D141" t="s">
        <v>46</v>
      </c>
      <c r="E141">
        <v>46</v>
      </c>
      <c r="F141" t="s">
        <v>73</v>
      </c>
      <c r="G141">
        <v>0</v>
      </c>
      <c r="H141" t="s">
        <v>286</v>
      </c>
    </row>
    <row r="142" spans="1:8" x14ac:dyDescent="0.25">
      <c r="A142" t="s">
        <v>287</v>
      </c>
      <c r="B142" t="s">
        <v>27</v>
      </c>
      <c r="C142" t="s">
        <v>33</v>
      </c>
      <c r="D142" t="s">
        <v>46</v>
      </c>
      <c r="E142">
        <v>46</v>
      </c>
      <c r="F142" t="s">
        <v>73</v>
      </c>
      <c r="G142">
        <v>0</v>
      </c>
      <c r="H142" t="s">
        <v>286</v>
      </c>
    </row>
    <row r="143" spans="1:8" x14ac:dyDescent="0.25">
      <c r="A143" t="s">
        <v>288</v>
      </c>
      <c r="B143" t="s">
        <v>21</v>
      </c>
      <c r="C143" t="s">
        <v>31</v>
      </c>
      <c r="D143" t="s">
        <v>44</v>
      </c>
      <c r="E143">
        <v>45</v>
      </c>
      <c r="G143">
        <v>0</v>
      </c>
      <c r="H143" t="s">
        <v>286</v>
      </c>
    </row>
    <row r="144" spans="1:8" x14ac:dyDescent="0.25">
      <c r="A144" t="s">
        <v>288</v>
      </c>
      <c r="B144" t="s">
        <v>21</v>
      </c>
      <c r="C144" t="s">
        <v>31</v>
      </c>
      <c r="D144" t="s">
        <v>44</v>
      </c>
      <c r="E144">
        <v>46</v>
      </c>
      <c r="G144">
        <v>0</v>
      </c>
      <c r="H144" t="s">
        <v>286</v>
      </c>
    </row>
    <row r="145" spans="1:8" x14ac:dyDescent="0.25">
      <c r="A145" t="s">
        <v>288</v>
      </c>
      <c r="B145" t="s">
        <v>21</v>
      </c>
      <c r="C145" t="s">
        <v>31</v>
      </c>
      <c r="D145" t="s">
        <v>45</v>
      </c>
      <c r="E145">
        <v>45</v>
      </c>
      <c r="G145">
        <v>0</v>
      </c>
      <c r="H145" t="s">
        <v>286</v>
      </c>
    </row>
    <row r="146" spans="1:8" x14ac:dyDescent="0.25">
      <c r="A146" t="s">
        <v>288</v>
      </c>
      <c r="B146" t="s">
        <v>21</v>
      </c>
      <c r="C146" t="s">
        <v>31</v>
      </c>
      <c r="D146" t="s">
        <v>45</v>
      </c>
      <c r="E146">
        <v>46</v>
      </c>
      <c r="G146">
        <v>0</v>
      </c>
      <c r="H146" t="s">
        <v>286</v>
      </c>
    </row>
    <row r="147" spans="1:8" x14ac:dyDescent="0.25">
      <c r="A147" t="s">
        <v>288</v>
      </c>
      <c r="B147" t="s">
        <v>21</v>
      </c>
      <c r="C147" t="s">
        <v>31</v>
      </c>
      <c r="D147" t="s">
        <v>46</v>
      </c>
      <c r="E147">
        <v>45</v>
      </c>
      <c r="G147">
        <v>0</v>
      </c>
      <c r="H147" t="s">
        <v>286</v>
      </c>
    </row>
    <row r="148" spans="1:8" x14ac:dyDescent="0.25">
      <c r="A148" t="s">
        <v>288</v>
      </c>
      <c r="B148" t="s">
        <v>21</v>
      </c>
      <c r="C148" t="s">
        <v>31</v>
      </c>
      <c r="D148" t="s">
        <v>46</v>
      </c>
      <c r="E148">
        <v>46</v>
      </c>
      <c r="G148">
        <v>0</v>
      </c>
      <c r="H148" t="s">
        <v>286</v>
      </c>
    </row>
    <row r="149" spans="1:8" x14ac:dyDescent="0.25">
      <c r="A149" t="s">
        <v>288</v>
      </c>
      <c r="B149" t="s">
        <v>26</v>
      </c>
      <c r="C149" t="s">
        <v>32</v>
      </c>
      <c r="D149" t="s">
        <v>44</v>
      </c>
      <c r="E149">
        <v>45</v>
      </c>
      <c r="G149">
        <v>0</v>
      </c>
      <c r="H149" t="s">
        <v>286</v>
      </c>
    </row>
    <row r="150" spans="1:8" x14ac:dyDescent="0.25">
      <c r="A150" t="s">
        <v>288</v>
      </c>
      <c r="B150" t="s">
        <v>26</v>
      </c>
      <c r="C150" t="s">
        <v>32</v>
      </c>
      <c r="D150" t="s">
        <v>44</v>
      </c>
      <c r="E150">
        <v>46</v>
      </c>
      <c r="G150">
        <v>0</v>
      </c>
      <c r="H150" t="s">
        <v>286</v>
      </c>
    </row>
    <row r="151" spans="1:8" x14ac:dyDescent="0.25">
      <c r="A151" t="s">
        <v>288</v>
      </c>
      <c r="B151" t="s">
        <v>26</v>
      </c>
      <c r="C151" t="s">
        <v>32</v>
      </c>
      <c r="D151" t="s">
        <v>45</v>
      </c>
      <c r="E151">
        <v>45</v>
      </c>
      <c r="G151">
        <v>0</v>
      </c>
      <c r="H151" t="s">
        <v>286</v>
      </c>
    </row>
    <row r="152" spans="1:8" x14ac:dyDescent="0.25">
      <c r="A152" t="s">
        <v>288</v>
      </c>
      <c r="B152" t="s">
        <v>26</v>
      </c>
      <c r="C152" t="s">
        <v>32</v>
      </c>
      <c r="D152" t="s">
        <v>45</v>
      </c>
      <c r="E152">
        <v>46</v>
      </c>
      <c r="G152">
        <v>0</v>
      </c>
      <c r="H152" t="s">
        <v>286</v>
      </c>
    </row>
    <row r="153" spans="1:8" x14ac:dyDescent="0.25">
      <c r="A153" t="s">
        <v>288</v>
      </c>
      <c r="B153" t="s">
        <v>26</v>
      </c>
      <c r="C153" t="s">
        <v>32</v>
      </c>
      <c r="D153" t="s">
        <v>46</v>
      </c>
      <c r="E153">
        <v>45</v>
      </c>
      <c r="G153">
        <v>0</v>
      </c>
      <c r="H153" t="s">
        <v>286</v>
      </c>
    </row>
    <row r="154" spans="1:8" x14ac:dyDescent="0.25">
      <c r="A154" t="s">
        <v>288</v>
      </c>
      <c r="B154" t="s">
        <v>26</v>
      </c>
      <c r="C154" t="s">
        <v>32</v>
      </c>
      <c r="D154" t="s">
        <v>46</v>
      </c>
      <c r="E154">
        <v>46</v>
      </c>
      <c r="G154">
        <v>0</v>
      </c>
      <c r="H154" t="s">
        <v>286</v>
      </c>
    </row>
    <row r="155" spans="1:8" x14ac:dyDescent="0.25">
      <c r="A155" t="s">
        <v>288</v>
      </c>
      <c r="B155" t="s">
        <v>27</v>
      </c>
      <c r="C155" t="s">
        <v>33</v>
      </c>
      <c r="D155" t="s">
        <v>44</v>
      </c>
      <c r="E155">
        <v>45</v>
      </c>
      <c r="G155">
        <v>0</v>
      </c>
      <c r="H155" t="s">
        <v>286</v>
      </c>
    </row>
    <row r="156" spans="1:8" x14ac:dyDescent="0.25">
      <c r="A156" t="s">
        <v>288</v>
      </c>
      <c r="B156" t="s">
        <v>27</v>
      </c>
      <c r="C156" t="s">
        <v>33</v>
      </c>
      <c r="D156" t="s">
        <v>44</v>
      </c>
      <c r="E156">
        <v>46</v>
      </c>
      <c r="G156">
        <v>0</v>
      </c>
      <c r="H156" t="s">
        <v>286</v>
      </c>
    </row>
    <row r="157" spans="1:8" x14ac:dyDescent="0.25">
      <c r="A157" t="s">
        <v>288</v>
      </c>
      <c r="B157" t="s">
        <v>27</v>
      </c>
      <c r="C157" t="s">
        <v>33</v>
      </c>
      <c r="D157" t="s">
        <v>45</v>
      </c>
      <c r="E157">
        <v>45</v>
      </c>
      <c r="G157">
        <v>0</v>
      </c>
      <c r="H157" t="s">
        <v>286</v>
      </c>
    </row>
    <row r="158" spans="1:8" x14ac:dyDescent="0.25">
      <c r="A158" t="s">
        <v>288</v>
      </c>
      <c r="B158" t="s">
        <v>27</v>
      </c>
      <c r="C158" t="s">
        <v>33</v>
      </c>
      <c r="D158" t="s">
        <v>45</v>
      </c>
      <c r="E158">
        <v>46</v>
      </c>
      <c r="G158">
        <v>0</v>
      </c>
      <c r="H158" t="s">
        <v>286</v>
      </c>
    </row>
    <row r="159" spans="1:8" x14ac:dyDescent="0.25">
      <c r="A159" t="s">
        <v>288</v>
      </c>
      <c r="B159" t="s">
        <v>27</v>
      </c>
      <c r="C159" t="s">
        <v>33</v>
      </c>
      <c r="D159" t="s">
        <v>46</v>
      </c>
      <c r="E159">
        <v>45</v>
      </c>
      <c r="G159">
        <v>0</v>
      </c>
      <c r="H159" t="s">
        <v>286</v>
      </c>
    </row>
    <row r="160" spans="1:8" x14ac:dyDescent="0.25">
      <c r="A160" t="s">
        <v>288</v>
      </c>
      <c r="B160" t="s">
        <v>27</v>
      </c>
      <c r="C160" t="s">
        <v>33</v>
      </c>
      <c r="D160" t="s">
        <v>46</v>
      </c>
      <c r="E160">
        <v>46</v>
      </c>
      <c r="G160">
        <v>0</v>
      </c>
      <c r="H160" t="s">
        <v>286</v>
      </c>
    </row>
    <row r="161" spans="1:8" x14ac:dyDescent="0.25">
      <c r="A161" t="s">
        <v>288</v>
      </c>
      <c r="B161" t="s">
        <v>21</v>
      </c>
      <c r="C161" t="s">
        <v>31</v>
      </c>
      <c r="D161" t="s">
        <v>44</v>
      </c>
      <c r="E161">
        <v>45</v>
      </c>
      <c r="G161">
        <v>0</v>
      </c>
      <c r="H161" t="s">
        <v>286</v>
      </c>
    </row>
    <row r="162" spans="1:8" x14ac:dyDescent="0.25">
      <c r="A162" t="s">
        <v>288</v>
      </c>
      <c r="B162" t="s">
        <v>21</v>
      </c>
      <c r="C162" t="s">
        <v>31</v>
      </c>
      <c r="D162" t="s">
        <v>44</v>
      </c>
      <c r="E162">
        <v>46</v>
      </c>
      <c r="G162">
        <v>0</v>
      </c>
      <c r="H162" t="s">
        <v>286</v>
      </c>
    </row>
    <row r="163" spans="1:8" x14ac:dyDescent="0.25">
      <c r="A163" t="s">
        <v>288</v>
      </c>
      <c r="B163" t="s">
        <v>21</v>
      </c>
      <c r="C163" t="s">
        <v>31</v>
      </c>
      <c r="D163" t="s">
        <v>45</v>
      </c>
      <c r="E163">
        <v>45</v>
      </c>
      <c r="G163">
        <v>0</v>
      </c>
      <c r="H163" t="s">
        <v>286</v>
      </c>
    </row>
    <row r="164" spans="1:8" x14ac:dyDescent="0.25">
      <c r="A164" t="s">
        <v>288</v>
      </c>
      <c r="B164" t="s">
        <v>21</v>
      </c>
      <c r="C164" t="s">
        <v>31</v>
      </c>
      <c r="D164" t="s">
        <v>45</v>
      </c>
      <c r="E164">
        <v>46</v>
      </c>
      <c r="G164">
        <v>0</v>
      </c>
      <c r="H164" t="s">
        <v>286</v>
      </c>
    </row>
    <row r="165" spans="1:8" x14ac:dyDescent="0.25">
      <c r="A165" t="s">
        <v>288</v>
      </c>
      <c r="B165" t="s">
        <v>21</v>
      </c>
      <c r="C165" t="s">
        <v>31</v>
      </c>
      <c r="D165" t="s">
        <v>46</v>
      </c>
      <c r="E165">
        <v>45</v>
      </c>
      <c r="G165">
        <v>0</v>
      </c>
      <c r="H165" t="s">
        <v>286</v>
      </c>
    </row>
    <row r="166" spans="1:8" x14ac:dyDescent="0.25">
      <c r="A166" t="s">
        <v>288</v>
      </c>
      <c r="B166" t="s">
        <v>21</v>
      </c>
      <c r="C166" t="s">
        <v>31</v>
      </c>
      <c r="D166" t="s">
        <v>46</v>
      </c>
      <c r="E166">
        <v>46</v>
      </c>
      <c r="G166">
        <v>0</v>
      </c>
      <c r="H166" t="s">
        <v>286</v>
      </c>
    </row>
    <row r="167" spans="1:8" x14ac:dyDescent="0.25">
      <c r="A167" t="s">
        <v>288</v>
      </c>
      <c r="B167" t="s">
        <v>26</v>
      </c>
      <c r="C167" t="s">
        <v>32</v>
      </c>
      <c r="D167" t="s">
        <v>44</v>
      </c>
      <c r="E167">
        <v>45</v>
      </c>
      <c r="G167">
        <v>0</v>
      </c>
      <c r="H167" t="s">
        <v>286</v>
      </c>
    </row>
    <row r="168" spans="1:8" x14ac:dyDescent="0.25">
      <c r="A168" t="s">
        <v>288</v>
      </c>
      <c r="B168" t="s">
        <v>26</v>
      </c>
      <c r="C168" t="s">
        <v>32</v>
      </c>
      <c r="D168" t="s">
        <v>44</v>
      </c>
      <c r="E168">
        <v>46</v>
      </c>
      <c r="G168">
        <v>0</v>
      </c>
      <c r="H168" t="s">
        <v>286</v>
      </c>
    </row>
    <row r="169" spans="1:8" x14ac:dyDescent="0.25">
      <c r="A169" t="s">
        <v>288</v>
      </c>
      <c r="B169" t="s">
        <v>26</v>
      </c>
      <c r="C169" t="s">
        <v>32</v>
      </c>
      <c r="D169" t="s">
        <v>45</v>
      </c>
      <c r="E169">
        <v>45</v>
      </c>
      <c r="G169">
        <v>0</v>
      </c>
      <c r="H169" t="s">
        <v>286</v>
      </c>
    </row>
    <row r="170" spans="1:8" x14ac:dyDescent="0.25">
      <c r="A170" t="s">
        <v>288</v>
      </c>
      <c r="B170" t="s">
        <v>26</v>
      </c>
      <c r="C170" t="s">
        <v>32</v>
      </c>
      <c r="D170" t="s">
        <v>45</v>
      </c>
      <c r="E170">
        <v>46</v>
      </c>
      <c r="G170">
        <v>0</v>
      </c>
      <c r="H170" t="s">
        <v>286</v>
      </c>
    </row>
    <row r="171" spans="1:8" x14ac:dyDescent="0.25">
      <c r="A171" t="s">
        <v>288</v>
      </c>
      <c r="B171" t="s">
        <v>26</v>
      </c>
      <c r="C171" t="s">
        <v>32</v>
      </c>
      <c r="D171" t="s">
        <v>46</v>
      </c>
      <c r="E171">
        <v>45</v>
      </c>
      <c r="G171">
        <v>0</v>
      </c>
      <c r="H171" t="s">
        <v>286</v>
      </c>
    </row>
    <row r="172" spans="1:8" x14ac:dyDescent="0.25">
      <c r="A172" t="s">
        <v>288</v>
      </c>
      <c r="B172" t="s">
        <v>26</v>
      </c>
      <c r="C172" t="s">
        <v>32</v>
      </c>
      <c r="D172" t="s">
        <v>46</v>
      </c>
      <c r="E172">
        <v>46</v>
      </c>
      <c r="G172">
        <v>0</v>
      </c>
      <c r="H172" t="s">
        <v>286</v>
      </c>
    </row>
    <row r="173" spans="1:8" x14ac:dyDescent="0.25">
      <c r="A173" t="s">
        <v>288</v>
      </c>
      <c r="B173" t="s">
        <v>27</v>
      </c>
      <c r="C173" t="s">
        <v>33</v>
      </c>
      <c r="D173" t="s">
        <v>44</v>
      </c>
      <c r="E173">
        <v>45</v>
      </c>
      <c r="G173">
        <v>0</v>
      </c>
      <c r="H173" t="s">
        <v>286</v>
      </c>
    </row>
    <row r="174" spans="1:8" x14ac:dyDescent="0.25">
      <c r="A174" t="s">
        <v>288</v>
      </c>
      <c r="B174" t="s">
        <v>27</v>
      </c>
      <c r="C174" t="s">
        <v>33</v>
      </c>
      <c r="D174" t="s">
        <v>44</v>
      </c>
      <c r="E174">
        <v>46</v>
      </c>
      <c r="G174">
        <v>0</v>
      </c>
      <c r="H174" t="s">
        <v>286</v>
      </c>
    </row>
    <row r="175" spans="1:8" x14ac:dyDescent="0.25">
      <c r="A175" t="s">
        <v>288</v>
      </c>
      <c r="B175" t="s">
        <v>27</v>
      </c>
      <c r="C175" t="s">
        <v>33</v>
      </c>
      <c r="D175" t="s">
        <v>45</v>
      </c>
      <c r="E175">
        <v>45</v>
      </c>
      <c r="G175">
        <v>0</v>
      </c>
      <c r="H175" t="s">
        <v>286</v>
      </c>
    </row>
    <row r="176" spans="1:8" x14ac:dyDescent="0.25">
      <c r="A176" t="s">
        <v>288</v>
      </c>
      <c r="B176" t="s">
        <v>27</v>
      </c>
      <c r="C176" t="s">
        <v>33</v>
      </c>
      <c r="D176" t="s">
        <v>45</v>
      </c>
      <c r="E176">
        <v>46</v>
      </c>
      <c r="G176">
        <v>0</v>
      </c>
      <c r="H176" t="s">
        <v>286</v>
      </c>
    </row>
    <row r="177" spans="1:8" x14ac:dyDescent="0.25">
      <c r="A177" t="s">
        <v>288</v>
      </c>
      <c r="B177" t="s">
        <v>27</v>
      </c>
      <c r="C177" t="s">
        <v>33</v>
      </c>
      <c r="D177" t="s">
        <v>46</v>
      </c>
      <c r="E177">
        <v>45</v>
      </c>
      <c r="G177">
        <v>0</v>
      </c>
      <c r="H177" t="s">
        <v>286</v>
      </c>
    </row>
    <row r="178" spans="1:8" x14ac:dyDescent="0.25">
      <c r="A178" t="s">
        <v>288</v>
      </c>
      <c r="B178" t="s">
        <v>27</v>
      </c>
      <c r="C178" t="s">
        <v>33</v>
      </c>
      <c r="D178" t="s">
        <v>46</v>
      </c>
      <c r="E178">
        <v>46</v>
      </c>
      <c r="G178">
        <v>0</v>
      </c>
      <c r="H178" t="s">
        <v>286</v>
      </c>
    </row>
    <row r="179" spans="1:8" x14ac:dyDescent="0.25">
      <c r="A179" t="s">
        <v>288</v>
      </c>
      <c r="B179" t="s">
        <v>21</v>
      </c>
      <c r="C179" t="s">
        <v>31</v>
      </c>
      <c r="D179" t="s">
        <v>44</v>
      </c>
      <c r="E179">
        <v>45</v>
      </c>
      <c r="G179">
        <v>0</v>
      </c>
      <c r="H179" t="s">
        <v>286</v>
      </c>
    </row>
    <row r="180" spans="1:8" x14ac:dyDescent="0.25">
      <c r="A180" t="s">
        <v>288</v>
      </c>
      <c r="B180" t="s">
        <v>21</v>
      </c>
      <c r="C180" t="s">
        <v>31</v>
      </c>
      <c r="D180" t="s">
        <v>44</v>
      </c>
      <c r="E180">
        <v>46</v>
      </c>
      <c r="G180">
        <v>0</v>
      </c>
      <c r="H180" t="s">
        <v>286</v>
      </c>
    </row>
    <row r="181" spans="1:8" x14ac:dyDescent="0.25">
      <c r="A181" t="s">
        <v>288</v>
      </c>
      <c r="B181" t="s">
        <v>21</v>
      </c>
      <c r="C181" t="s">
        <v>31</v>
      </c>
      <c r="D181" t="s">
        <v>45</v>
      </c>
      <c r="E181">
        <v>45</v>
      </c>
      <c r="G181">
        <v>0</v>
      </c>
      <c r="H181" t="s">
        <v>286</v>
      </c>
    </row>
    <row r="182" spans="1:8" x14ac:dyDescent="0.25">
      <c r="A182" t="s">
        <v>288</v>
      </c>
      <c r="B182" t="s">
        <v>21</v>
      </c>
      <c r="C182" t="s">
        <v>31</v>
      </c>
      <c r="D182" t="s">
        <v>45</v>
      </c>
      <c r="E182">
        <v>46</v>
      </c>
      <c r="G182">
        <v>0</v>
      </c>
      <c r="H182" t="s">
        <v>286</v>
      </c>
    </row>
    <row r="183" spans="1:8" x14ac:dyDescent="0.25">
      <c r="A183" t="s">
        <v>288</v>
      </c>
      <c r="B183" t="s">
        <v>21</v>
      </c>
      <c r="C183" t="s">
        <v>31</v>
      </c>
      <c r="D183" t="s">
        <v>46</v>
      </c>
      <c r="E183">
        <v>45</v>
      </c>
      <c r="G183">
        <v>0</v>
      </c>
      <c r="H183" t="s">
        <v>286</v>
      </c>
    </row>
    <row r="184" spans="1:8" x14ac:dyDescent="0.25">
      <c r="A184" t="s">
        <v>288</v>
      </c>
      <c r="B184" t="s">
        <v>21</v>
      </c>
      <c r="C184" t="s">
        <v>31</v>
      </c>
      <c r="D184" t="s">
        <v>46</v>
      </c>
      <c r="E184">
        <v>46</v>
      </c>
      <c r="G184">
        <v>0</v>
      </c>
      <c r="H184" t="s">
        <v>286</v>
      </c>
    </row>
    <row r="185" spans="1:8" x14ac:dyDescent="0.25">
      <c r="A185" t="s">
        <v>288</v>
      </c>
      <c r="B185" t="s">
        <v>26</v>
      </c>
      <c r="C185" t="s">
        <v>32</v>
      </c>
      <c r="D185" t="s">
        <v>44</v>
      </c>
      <c r="E185">
        <v>45</v>
      </c>
      <c r="G185">
        <v>0</v>
      </c>
      <c r="H185" t="s">
        <v>286</v>
      </c>
    </row>
    <row r="186" spans="1:8" x14ac:dyDescent="0.25">
      <c r="A186" t="s">
        <v>288</v>
      </c>
      <c r="B186" t="s">
        <v>26</v>
      </c>
      <c r="C186" t="s">
        <v>32</v>
      </c>
      <c r="D186" t="s">
        <v>44</v>
      </c>
      <c r="E186">
        <v>46</v>
      </c>
      <c r="G186">
        <v>0</v>
      </c>
      <c r="H186" t="s">
        <v>286</v>
      </c>
    </row>
    <row r="187" spans="1:8" x14ac:dyDescent="0.25">
      <c r="A187" t="s">
        <v>288</v>
      </c>
      <c r="B187" t="s">
        <v>26</v>
      </c>
      <c r="C187" t="s">
        <v>32</v>
      </c>
      <c r="D187" t="s">
        <v>45</v>
      </c>
      <c r="E187">
        <v>45</v>
      </c>
      <c r="G187">
        <v>0</v>
      </c>
      <c r="H187" t="s">
        <v>286</v>
      </c>
    </row>
    <row r="188" spans="1:8" x14ac:dyDescent="0.25">
      <c r="A188" t="s">
        <v>288</v>
      </c>
      <c r="B188" t="s">
        <v>26</v>
      </c>
      <c r="C188" t="s">
        <v>32</v>
      </c>
      <c r="D188" t="s">
        <v>45</v>
      </c>
      <c r="E188">
        <v>46</v>
      </c>
      <c r="G188">
        <v>0</v>
      </c>
      <c r="H188" t="s">
        <v>286</v>
      </c>
    </row>
    <row r="189" spans="1:8" x14ac:dyDescent="0.25">
      <c r="A189" t="s">
        <v>288</v>
      </c>
      <c r="B189" t="s">
        <v>26</v>
      </c>
      <c r="C189" t="s">
        <v>32</v>
      </c>
      <c r="D189" t="s">
        <v>46</v>
      </c>
      <c r="E189">
        <v>45</v>
      </c>
      <c r="G189">
        <v>0</v>
      </c>
      <c r="H189" t="s">
        <v>286</v>
      </c>
    </row>
    <row r="190" spans="1:8" x14ac:dyDescent="0.25">
      <c r="A190" t="s">
        <v>288</v>
      </c>
      <c r="B190" t="s">
        <v>26</v>
      </c>
      <c r="C190" t="s">
        <v>32</v>
      </c>
      <c r="D190" t="s">
        <v>46</v>
      </c>
      <c r="E190">
        <v>46</v>
      </c>
      <c r="G190">
        <v>0</v>
      </c>
      <c r="H190" t="s">
        <v>286</v>
      </c>
    </row>
    <row r="191" spans="1:8" x14ac:dyDescent="0.25">
      <c r="A191" t="s">
        <v>288</v>
      </c>
      <c r="B191" t="s">
        <v>27</v>
      </c>
      <c r="C191" t="s">
        <v>33</v>
      </c>
      <c r="D191" t="s">
        <v>44</v>
      </c>
      <c r="E191">
        <v>45</v>
      </c>
      <c r="G191">
        <v>0</v>
      </c>
      <c r="H191" t="s">
        <v>286</v>
      </c>
    </row>
    <row r="192" spans="1:8" x14ac:dyDescent="0.25">
      <c r="A192" t="s">
        <v>288</v>
      </c>
      <c r="B192" t="s">
        <v>27</v>
      </c>
      <c r="C192" t="s">
        <v>33</v>
      </c>
      <c r="D192" t="s">
        <v>44</v>
      </c>
      <c r="E192">
        <v>46</v>
      </c>
      <c r="G192">
        <v>0</v>
      </c>
      <c r="H192" t="s">
        <v>286</v>
      </c>
    </row>
    <row r="193" spans="1:8" x14ac:dyDescent="0.25">
      <c r="A193" t="s">
        <v>288</v>
      </c>
      <c r="B193" t="s">
        <v>27</v>
      </c>
      <c r="C193" t="s">
        <v>33</v>
      </c>
      <c r="D193" t="s">
        <v>45</v>
      </c>
      <c r="E193">
        <v>45</v>
      </c>
      <c r="G193">
        <v>0</v>
      </c>
      <c r="H193" t="s">
        <v>286</v>
      </c>
    </row>
    <row r="194" spans="1:8" x14ac:dyDescent="0.25">
      <c r="A194" t="s">
        <v>288</v>
      </c>
      <c r="B194" t="s">
        <v>27</v>
      </c>
      <c r="C194" t="s">
        <v>33</v>
      </c>
      <c r="D194" t="s">
        <v>45</v>
      </c>
      <c r="E194">
        <v>46</v>
      </c>
      <c r="G194">
        <v>0</v>
      </c>
      <c r="H194" t="s">
        <v>286</v>
      </c>
    </row>
    <row r="195" spans="1:8" x14ac:dyDescent="0.25">
      <c r="A195" t="s">
        <v>288</v>
      </c>
      <c r="B195" t="s">
        <v>27</v>
      </c>
      <c r="C195" t="s">
        <v>33</v>
      </c>
      <c r="D195" t="s">
        <v>46</v>
      </c>
      <c r="E195">
        <v>45</v>
      </c>
      <c r="G195">
        <v>0</v>
      </c>
      <c r="H195" t="s">
        <v>286</v>
      </c>
    </row>
    <row r="196" spans="1:8" x14ac:dyDescent="0.25">
      <c r="A196" t="s">
        <v>288</v>
      </c>
      <c r="B196" t="s">
        <v>27</v>
      </c>
      <c r="C196" t="s">
        <v>33</v>
      </c>
      <c r="D196" t="s">
        <v>46</v>
      </c>
      <c r="E196">
        <v>46</v>
      </c>
      <c r="G196">
        <v>0</v>
      </c>
      <c r="H196" t="s">
        <v>286</v>
      </c>
    </row>
    <row r="197" spans="1:8" x14ac:dyDescent="0.25">
      <c r="A197" t="s">
        <v>289</v>
      </c>
      <c r="B197" t="s">
        <v>21</v>
      </c>
      <c r="C197" t="s">
        <v>31</v>
      </c>
      <c r="D197" t="s">
        <v>44</v>
      </c>
      <c r="E197">
        <v>45</v>
      </c>
      <c r="G197">
        <v>0</v>
      </c>
      <c r="H197" t="s">
        <v>286</v>
      </c>
    </row>
    <row r="198" spans="1:8" x14ac:dyDescent="0.25">
      <c r="A198" t="s">
        <v>289</v>
      </c>
      <c r="B198" t="s">
        <v>21</v>
      </c>
      <c r="C198" t="s">
        <v>31</v>
      </c>
      <c r="D198" t="s">
        <v>44</v>
      </c>
      <c r="E198">
        <v>46</v>
      </c>
      <c r="G198">
        <v>0</v>
      </c>
      <c r="H198" t="s">
        <v>286</v>
      </c>
    </row>
    <row r="199" spans="1:8" x14ac:dyDescent="0.25">
      <c r="A199" t="s">
        <v>289</v>
      </c>
      <c r="B199" t="s">
        <v>21</v>
      </c>
      <c r="C199" t="s">
        <v>31</v>
      </c>
      <c r="D199" t="s">
        <v>45</v>
      </c>
      <c r="E199">
        <v>45</v>
      </c>
      <c r="G199">
        <v>0</v>
      </c>
      <c r="H199" t="s">
        <v>286</v>
      </c>
    </row>
    <row r="200" spans="1:8" x14ac:dyDescent="0.25">
      <c r="A200" t="s">
        <v>289</v>
      </c>
      <c r="B200" t="s">
        <v>21</v>
      </c>
      <c r="C200" t="s">
        <v>31</v>
      </c>
      <c r="D200" t="s">
        <v>45</v>
      </c>
      <c r="E200">
        <v>46</v>
      </c>
      <c r="G200">
        <v>0</v>
      </c>
      <c r="H200" t="s">
        <v>286</v>
      </c>
    </row>
    <row r="201" spans="1:8" x14ac:dyDescent="0.25">
      <c r="A201" t="s">
        <v>289</v>
      </c>
      <c r="B201" t="s">
        <v>21</v>
      </c>
      <c r="C201" t="s">
        <v>31</v>
      </c>
      <c r="D201" t="s">
        <v>46</v>
      </c>
      <c r="E201">
        <v>45</v>
      </c>
      <c r="G201">
        <v>0</v>
      </c>
      <c r="H201" t="s">
        <v>286</v>
      </c>
    </row>
    <row r="202" spans="1:8" x14ac:dyDescent="0.25">
      <c r="A202" t="s">
        <v>289</v>
      </c>
      <c r="B202" t="s">
        <v>21</v>
      </c>
      <c r="C202" t="s">
        <v>31</v>
      </c>
      <c r="D202" t="s">
        <v>46</v>
      </c>
      <c r="E202">
        <v>46</v>
      </c>
      <c r="G202">
        <v>0</v>
      </c>
      <c r="H202" t="s">
        <v>286</v>
      </c>
    </row>
    <row r="203" spans="1:8" x14ac:dyDescent="0.25">
      <c r="A203" t="s">
        <v>289</v>
      </c>
      <c r="B203" t="s">
        <v>26</v>
      </c>
      <c r="C203" t="s">
        <v>32</v>
      </c>
      <c r="D203" t="s">
        <v>44</v>
      </c>
      <c r="E203">
        <v>45</v>
      </c>
      <c r="G203">
        <v>0</v>
      </c>
      <c r="H203" t="s">
        <v>286</v>
      </c>
    </row>
    <row r="204" spans="1:8" x14ac:dyDescent="0.25">
      <c r="A204" t="s">
        <v>289</v>
      </c>
      <c r="B204" t="s">
        <v>26</v>
      </c>
      <c r="C204" t="s">
        <v>32</v>
      </c>
      <c r="D204" t="s">
        <v>44</v>
      </c>
      <c r="E204">
        <v>46</v>
      </c>
      <c r="G204">
        <v>0</v>
      </c>
      <c r="H204" t="s">
        <v>286</v>
      </c>
    </row>
    <row r="205" spans="1:8" x14ac:dyDescent="0.25">
      <c r="A205" t="s">
        <v>289</v>
      </c>
      <c r="B205" t="s">
        <v>26</v>
      </c>
      <c r="C205" t="s">
        <v>32</v>
      </c>
      <c r="D205" t="s">
        <v>45</v>
      </c>
      <c r="E205">
        <v>45</v>
      </c>
      <c r="G205">
        <v>0</v>
      </c>
      <c r="H205" t="s">
        <v>286</v>
      </c>
    </row>
    <row r="206" spans="1:8" x14ac:dyDescent="0.25">
      <c r="A206" t="s">
        <v>289</v>
      </c>
      <c r="B206" t="s">
        <v>26</v>
      </c>
      <c r="C206" t="s">
        <v>32</v>
      </c>
      <c r="D206" t="s">
        <v>45</v>
      </c>
      <c r="E206">
        <v>46</v>
      </c>
      <c r="G206">
        <v>0</v>
      </c>
      <c r="H206" t="s">
        <v>286</v>
      </c>
    </row>
    <row r="207" spans="1:8" x14ac:dyDescent="0.25">
      <c r="A207" t="s">
        <v>289</v>
      </c>
      <c r="B207" t="s">
        <v>26</v>
      </c>
      <c r="C207" t="s">
        <v>32</v>
      </c>
      <c r="D207" t="s">
        <v>46</v>
      </c>
      <c r="E207">
        <v>45</v>
      </c>
      <c r="G207">
        <v>0</v>
      </c>
      <c r="H207" t="s">
        <v>286</v>
      </c>
    </row>
    <row r="208" spans="1:8" x14ac:dyDescent="0.25">
      <c r="A208" t="s">
        <v>289</v>
      </c>
      <c r="B208" t="s">
        <v>26</v>
      </c>
      <c r="C208" t="s">
        <v>32</v>
      </c>
      <c r="D208" t="s">
        <v>46</v>
      </c>
      <c r="E208">
        <v>46</v>
      </c>
      <c r="G208">
        <v>0</v>
      </c>
      <c r="H208" t="s">
        <v>286</v>
      </c>
    </row>
    <row r="209" spans="1:8" x14ac:dyDescent="0.25">
      <c r="A209" t="s">
        <v>289</v>
      </c>
      <c r="B209" t="s">
        <v>27</v>
      </c>
      <c r="C209" t="s">
        <v>33</v>
      </c>
      <c r="D209" t="s">
        <v>44</v>
      </c>
      <c r="E209">
        <v>45</v>
      </c>
      <c r="G209">
        <v>0</v>
      </c>
      <c r="H209" t="s">
        <v>286</v>
      </c>
    </row>
    <row r="210" spans="1:8" x14ac:dyDescent="0.25">
      <c r="A210" t="s">
        <v>289</v>
      </c>
      <c r="B210" t="s">
        <v>27</v>
      </c>
      <c r="C210" t="s">
        <v>33</v>
      </c>
      <c r="D210" t="s">
        <v>44</v>
      </c>
      <c r="E210">
        <v>46</v>
      </c>
      <c r="G210">
        <v>0</v>
      </c>
      <c r="H210" t="s">
        <v>286</v>
      </c>
    </row>
    <row r="211" spans="1:8" x14ac:dyDescent="0.25">
      <c r="A211" t="s">
        <v>289</v>
      </c>
      <c r="B211" t="s">
        <v>27</v>
      </c>
      <c r="C211" t="s">
        <v>33</v>
      </c>
      <c r="D211" t="s">
        <v>45</v>
      </c>
      <c r="E211">
        <v>45</v>
      </c>
      <c r="G211">
        <v>0</v>
      </c>
      <c r="H211" t="s">
        <v>286</v>
      </c>
    </row>
    <row r="212" spans="1:8" x14ac:dyDescent="0.25">
      <c r="A212" t="s">
        <v>289</v>
      </c>
      <c r="B212" t="s">
        <v>27</v>
      </c>
      <c r="C212" t="s">
        <v>33</v>
      </c>
      <c r="D212" t="s">
        <v>45</v>
      </c>
      <c r="E212">
        <v>46</v>
      </c>
      <c r="G212">
        <v>0</v>
      </c>
      <c r="H212" t="s">
        <v>286</v>
      </c>
    </row>
    <row r="213" spans="1:8" x14ac:dyDescent="0.25">
      <c r="A213" t="s">
        <v>289</v>
      </c>
      <c r="B213" t="s">
        <v>27</v>
      </c>
      <c r="C213" t="s">
        <v>33</v>
      </c>
      <c r="D213" t="s">
        <v>46</v>
      </c>
      <c r="E213">
        <v>45</v>
      </c>
      <c r="G213">
        <v>0</v>
      </c>
      <c r="H213" t="s">
        <v>286</v>
      </c>
    </row>
    <row r="214" spans="1:8" x14ac:dyDescent="0.25">
      <c r="A214" t="s">
        <v>289</v>
      </c>
      <c r="B214" t="s">
        <v>27</v>
      </c>
      <c r="C214" t="s">
        <v>33</v>
      </c>
      <c r="D214" t="s">
        <v>46</v>
      </c>
      <c r="E214">
        <v>46</v>
      </c>
      <c r="G214">
        <v>0</v>
      </c>
      <c r="H214" t="s">
        <v>286</v>
      </c>
    </row>
    <row r="215" spans="1:8" x14ac:dyDescent="0.25">
      <c r="A215" t="s">
        <v>289</v>
      </c>
      <c r="B215" t="s">
        <v>21</v>
      </c>
      <c r="C215" t="s">
        <v>31</v>
      </c>
      <c r="D215" t="s">
        <v>44</v>
      </c>
      <c r="E215">
        <v>45</v>
      </c>
      <c r="G215">
        <v>0</v>
      </c>
      <c r="H215" t="s">
        <v>286</v>
      </c>
    </row>
    <row r="216" spans="1:8" x14ac:dyDescent="0.25">
      <c r="A216" t="s">
        <v>289</v>
      </c>
      <c r="B216" t="s">
        <v>21</v>
      </c>
      <c r="C216" t="s">
        <v>31</v>
      </c>
      <c r="D216" t="s">
        <v>44</v>
      </c>
      <c r="E216">
        <v>46</v>
      </c>
      <c r="G216">
        <v>0</v>
      </c>
      <c r="H216" t="s">
        <v>286</v>
      </c>
    </row>
    <row r="217" spans="1:8" x14ac:dyDescent="0.25">
      <c r="A217" t="s">
        <v>289</v>
      </c>
      <c r="B217" t="s">
        <v>21</v>
      </c>
      <c r="C217" t="s">
        <v>31</v>
      </c>
      <c r="D217" t="s">
        <v>45</v>
      </c>
      <c r="E217">
        <v>45</v>
      </c>
      <c r="G217">
        <v>0</v>
      </c>
      <c r="H217" t="s">
        <v>286</v>
      </c>
    </row>
    <row r="218" spans="1:8" x14ac:dyDescent="0.25">
      <c r="A218" t="s">
        <v>289</v>
      </c>
      <c r="B218" t="s">
        <v>21</v>
      </c>
      <c r="C218" t="s">
        <v>31</v>
      </c>
      <c r="D218" t="s">
        <v>45</v>
      </c>
      <c r="E218">
        <v>46</v>
      </c>
      <c r="G218">
        <v>0</v>
      </c>
      <c r="H218" t="s">
        <v>286</v>
      </c>
    </row>
    <row r="219" spans="1:8" x14ac:dyDescent="0.25">
      <c r="A219" t="s">
        <v>289</v>
      </c>
      <c r="B219" t="s">
        <v>21</v>
      </c>
      <c r="C219" t="s">
        <v>31</v>
      </c>
      <c r="D219" t="s">
        <v>46</v>
      </c>
      <c r="E219">
        <v>45</v>
      </c>
      <c r="G219">
        <v>0</v>
      </c>
      <c r="H219" t="s">
        <v>286</v>
      </c>
    </row>
    <row r="220" spans="1:8" x14ac:dyDescent="0.25">
      <c r="A220" t="s">
        <v>289</v>
      </c>
      <c r="B220" t="s">
        <v>21</v>
      </c>
      <c r="C220" t="s">
        <v>31</v>
      </c>
      <c r="D220" t="s">
        <v>46</v>
      </c>
      <c r="E220">
        <v>46</v>
      </c>
      <c r="G220">
        <v>0</v>
      </c>
      <c r="H220" t="s">
        <v>286</v>
      </c>
    </row>
    <row r="221" spans="1:8" x14ac:dyDescent="0.25">
      <c r="A221" t="s">
        <v>289</v>
      </c>
      <c r="B221" t="s">
        <v>26</v>
      </c>
      <c r="C221" t="s">
        <v>32</v>
      </c>
      <c r="D221" t="s">
        <v>44</v>
      </c>
      <c r="E221">
        <v>45</v>
      </c>
      <c r="G221">
        <v>0</v>
      </c>
      <c r="H221" t="s">
        <v>286</v>
      </c>
    </row>
    <row r="222" spans="1:8" x14ac:dyDescent="0.25">
      <c r="A222" t="s">
        <v>289</v>
      </c>
      <c r="B222" t="s">
        <v>26</v>
      </c>
      <c r="C222" t="s">
        <v>32</v>
      </c>
      <c r="D222" t="s">
        <v>44</v>
      </c>
      <c r="E222">
        <v>46</v>
      </c>
      <c r="G222">
        <v>0</v>
      </c>
      <c r="H222" t="s">
        <v>286</v>
      </c>
    </row>
    <row r="223" spans="1:8" x14ac:dyDescent="0.25">
      <c r="A223" t="s">
        <v>289</v>
      </c>
      <c r="B223" t="s">
        <v>26</v>
      </c>
      <c r="C223" t="s">
        <v>32</v>
      </c>
      <c r="D223" t="s">
        <v>45</v>
      </c>
      <c r="E223">
        <v>45</v>
      </c>
      <c r="G223">
        <v>0</v>
      </c>
      <c r="H223" t="s">
        <v>286</v>
      </c>
    </row>
    <row r="224" spans="1:8" x14ac:dyDescent="0.25">
      <c r="A224" t="s">
        <v>289</v>
      </c>
      <c r="B224" t="s">
        <v>26</v>
      </c>
      <c r="C224" t="s">
        <v>32</v>
      </c>
      <c r="D224" t="s">
        <v>45</v>
      </c>
      <c r="E224">
        <v>46</v>
      </c>
      <c r="G224">
        <v>0</v>
      </c>
      <c r="H224" t="s">
        <v>286</v>
      </c>
    </row>
    <row r="225" spans="1:12" x14ac:dyDescent="0.25">
      <c r="A225" t="s">
        <v>289</v>
      </c>
      <c r="B225" t="s">
        <v>26</v>
      </c>
      <c r="C225" t="s">
        <v>32</v>
      </c>
      <c r="D225" t="s">
        <v>46</v>
      </c>
      <c r="E225">
        <v>45</v>
      </c>
      <c r="G225">
        <v>0</v>
      </c>
      <c r="H225" t="s">
        <v>286</v>
      </c>
    </row>
    <row r="226" spans="1:12" x14ac:dyDescent="0.25">
      <c r="A226" t="s">
        <v>289</v>
      </c>
      <c r="B226" t="s">
        <v>26</v>
      </c>
      <c r="C226" t="s">
        <v>32</v>
      </c>
      <c r="D226" t="s">
        <v>46</v>
      </c>
      <c r="E226">
        <v>46</v>
      </c>
      <c r="G226">
        <v>0</v>
      </c>
      <c r="H226" t="s">
        <v>286</v>
      </c>
    </row>
    <row r="227" spans="1:12" x14ac:dyDescent="0.25">
      <c r="A227" t="s">
        <v>289</v>
      </c>
      <c r="B227" t="s">
        <v>27</v>
      </c>
      <c r="C227" t="s">
        <v>33</v>
      </c>
      <c r="D227" t="s">
        <v>44</v>
      </c>
      <c r="E227">
        <v>45</v>
      </c>
      <c r="G227">
        <v>0</v>
      </c>
      <c r="H227" t="s">
        <v>286</v>
      </c>
    </row>
    <row r="228" spans="1:12" x14ac:dyDescent="0.25">
      <c r="A228" t="s">
        <v>289</v>
      </c>
      <c r="B228" t="s">
        <v>27</v>
      </c>
      <c r="C228" t="s">
        <v>33</v>
      </c>
      <c r="D228" t="s">
        <v>44</v>
      </c>
      <c r="E228">
        <v>46</v>
      </c>
      <c r="G228">
        <v>0</v>
      </c>
      <c r="H228" t="s">
        <v>286</v>
      </c>
    </row>
    <row r="229" spans="1:12" x14ac:dyDescent="0.25">
      <c r="A229" t="s">
        <v>289</v>
      </c>
      <c r="B229" t="s">
        <v>27</v>
      </c>
      <c r="C229" t="s">
        <v>33</v>
      </c>
      <c r="D229" t="s">
        <v>45</v>
      </c>
      <c r="E229">
        <v>45</v>
      </c>
      <c r="G229">
        <v>0</v>
      </c>
      <c r="H229" t="s">
        <v>286</v>
      </c>
    </row>
    <row r="230" spans="1:12" x14ac:dyDescent="0.25">
      <c r="A230" t="s">
        <v>289</v>
      </c>
      <c r="B230" t="s">
        <v>27</v>
      </c>
      <c r="C230" t="s">
        <v>33</v>
      </c>
      <c r="D230" t="s">
        <v>45</v>
      </c>
      <c r="E230">
        <v>46</v>
      </c>
      <c r="G230">
        <v>0</v>
      </c>
      <c r="H230" t="s">
        <v>286</v>
      </c>
    </row>
    <row r="231" spans="1:12" x14ac:dyDescent="0.25">
      <c r="A231" t="s">
        <v>289</v>
      </c>
      <c r="B231" t="s">
        <v>27</v>
      </c>
      <c r="C231" t="s">
        <v>33</v>
      </c>
      <c r="D231" t="s">
        <v>46</v>
      </c>
      <c r="E231">
        <v>45</v>
      </c>
      <c r="G231">
        <v>0</v>
      </c>
      <c r="H231" t="s">
        <v>286</v>
      </c>
    </row>
    <row r="232" spans="1:12" x14ac:dyDescent="0.25">
      <c r="A232" t="s">
        <v>289</v>
      </c>
      <c r="B232" t="s">
        <v>27</v>
      </c>
      <c r="C232" t="s">
        <v>33</v>
      </c>
      <c r="D232" t="s">
        <v>46</v>
      </c>
      <c r="E232">
        <v>46</v>
      </c>
      <c r="G232">
        <v>0</v>
      </c>
      <c r="H232" t="s">
        <v>286</v>
      </c>
    </row>
    <row r="233" spans="1:12" x14ac:dyDescent="0.25">
      <c r="A233" t="s">
        <v>289</v>
      </c>
      <c r="B233" t="s">
        <v>21</v>
      </c>
      <c r="C233" t="s">
        <v>31</v>
      </c>
      <c r="D233" t="s">
        <v>44</v>
      </c>
      <c r="E233">
        <v>45</v>
      </c>
      <c r="G233">
        <v>0</v>
      </c>
      <c r="H233" t="s">
        <v>286</v>
      </c>
    </row>
    <row r="234" spans="1:12" x14ac:dyDescent="0.25">
      <c r="A234" t="s">
        <v>289</v>
      </c>
      <c r="B234" t="s">
        <v>21</v>
      </c>
      <c r="C234" t="s">
        <v>31</v>
      </c>
      <c r="D234" t="s">
        <v>44</v>
      </c>
      <c r="E234">
        <v>46</v>
      </c>
      <c r="G234">
        <v>0</v>
      </c>
      <c r="H234" t="s">
        <v>286</v>
      </c>
    </row>
    <row r="235" spans="1:12" x14ac:dyDescent="0.25">
      <c r="A235" t="s">
        <v>289</v>
      </c>
      <c r="B235" t="s">
        <v>21</v>
      </c>
      <c r="C235" t="s">
        <v>31</v>
      </c>
      <c r="D235" t="s">
        <v>45</v>
      </c>
      <c r="E235">
        <v>45</v>
      </c>
      <c r="G235">
        <v>0</v>
      </c>
      <c r="H235" t="s">
        <v>286</v>
      </c>
    </row>
    <row r="236" spans="1:12" x14ac:dyDescent="0.25">
      <c r="A236" t="s">
        <v>289</v>
      </c>
      <c r="B236" t="s">
        <v>21</v>
      </c>
      <c r="C236" t="s">
        <v>31</v>
      </c>
      <c r="D236" t="s">
        <v>45</v>
      </c>
      <c r="E236">
        <v>46</v>
      </c>
      <c r="G236">
        <v>0</v>
      </c>
      <c r="H236" t="s">
        <v>286</v>
      </c>
    </row>
    <row r="237" spans="1:12" x14ac:dyDescent="0.25">
      <c r="A237" t="s">
        <v>289</v>
      </c>
      <c r="B237" t="s">
        <v>21</v>
      </c>
      <c r="C237" t="s">
        <v>31</v>
      </c>
      <c r="D237" t="s">
        <v>46</v>
      </c>
      <c r="E237">
        <v>45</v>
      </c>
      <c r="G237">
        <v>0</v>
      </c>
      <c r="H237" t="s">
        <v>286</v>
      </c>
      <c r="L237" s="2" t="s">
        <v>279</v>
      </c>
    </row>
    <row r="238" spans="1:12" x14ac:dyDescent="0.25">
      <c r="A238" t="s">
        <v>289</v>
      </c>
      <c r="B238" t="s">
        <v>21</v>
      </c>
      <c r="C238" t="s">
        <v>31</v>
      </c>
      <c r="D238" t="s">
        <v>46</v>
      </c>
      <c r="E238">
        <v>46</v>
      </c>
      <c r="G238">
        <v>0</v>
      </c>
      <c r="H238" t="s">
        <v>286</v>
      </c>
    </row>
    <row r="239" spans="1:12" x14ac:dyDescent="0.25">
      <c r="A239" t="s">
        <v>289</v>
      </c>
      <c r="B239" t="s">
        <v>26</v>
      </c>
      <c r="C239" t="s">
        <v>32</v>
      </c>
      <c r="D239" t="s">
        <v>44</v>
      </c>
      <c r="E239">
        <v>45</v>
      </c>
      <c r="G239">
        <v>0</v>
      </c>
      <c r="H239" t="s">
        <v>286</v>
      </c>
    </row>
    <row r="240" spans="1:12" x14ac:dyDescent="0.25">
      <c r="A240" t="s">
        <v>289</v>
      </c>
      <c r="B240" t="s">
        <v>26</v>
      </c>
      <c r="C240" t="s">
        <v>32</v>
      </c>
      <c r="D240" t="s">
        <v>44</v>
      </c>
      <c r="E240">
        <v>46</v>
      </c>
      <c r="G240">
        <v>0</v>
      </c>
      <c r="H240" t="s">
        <v>286</v>
      </c>
    </row>
    <row r="241" spans="1:8" x14ac:dyDescent="0.25">
      <c r="A241" t="s">
        <v>289</v>
      </c>
      <c r="B241" t="s">
        <v>26</v>
      </c>
      <c r="C241" t="s">
        <v>32</v>
      </c>
      <c r="D241" t="s">
        <v>45</v>
      </c>
      <c r="E241">
        <v>45</v>
      </c>
      <c r="G241">
        <v>0</v>
      </c>
      <c r="H241" t="s">
        <v>286</v>
      </c>
    </row>
    <row r="242" spans="1:8" x14ac:dyDescent="0.25">
      <c r="A242" t="s">
        <v>289</v>
      </c>
      <c r="B242" t="s">
        <v>26</v>
      </c>
      <c r="C242" t="s">
        <v>32</v>
      </c>
      <c r="D242" t="s">
        <v>45</v>
      </c>
      <c r="E242">
        <v>46</v>
      </c>
      <c r="G242">
        <v>0</v>
      </c>
      <c r="H242" t="s">
        <v>286</v>
      </c>
    </row>
    <row r="243" spans="1:8" x14ac:dyDescent="0.25">
      <c r="A243" t="s">
        <v>289</v>
      </c>
      <c r="B243" t="s">
        <v>26</v>
      </c>
      <c r="C243" t="s">
        <v>32</v>
      </c>
      <c r="D243" t="s">
        <v>46</v>
      </c>
      <c r="E243">
        <v>45</v>
      </c>
      <c r="G243">
        <v>0</v>
      </c>
      <c r="H243" t="s">
        <v>286</v>
      </c>
    </row>
    <row r="244" spans="1:8" x14ac:dyDescent="0.25">
      <c r="A244" t="s">
        <v>289</v>
      </c>
      <c r="B244" t="s">
        <v>26</v>
      </c>
      <c r="C244" t="s">
        <v>32</v>
      </c>
      <c r="D244" t="s">
        <v>46</v>
      </c>
      <c r="E244">
        <v>46</v>
      </c>
      <c r="G244">
        <v>0</v>
      </c>
      <c r="H244" t="s">
        <v>286</v>
      </c>
    </row>
    <row r="245" spans="1:8" x14ac:dyDescent="0.25">
      <c r="A245" t="s">
        <v>289</v>
      </c>
      <c r="B245" t="s">
        <v>27</v>
      </c>
      <c r="C245" t="s">
        <v>33</v>
      </c>
      <c r="D245" t="s">
        <v>44</v>
      </c>
      <c r="E245">
        <v>45</v>
      </c>
      <c r="G245">
        <v>0</v>
      </c>
      <c r="H245" t="s">
        <v>286</v>
      </c>
    </row>
    <row r="246" spans="1:8" x14ac:dyDescent="0.25">
      <c r="A246" t="s">
        <v>289</v>
      </c>
      <c r="B246" t="s">
        <v>27</v>
      </c>
      <c r="C246" t="s">
        <v>33</v>
      </c>
      <c r="D246" t="s">
        <v>44</v>
      </c>
      <c r="E246">
        <v>46</v>
      </c>
      <c r="G246">
        <v>0</v>
      </c>
      <c r="H246" t="s">
        <v>286</v>
      </c>
    </row>
    <row r="247" spans="1:8" x14ac:dyDescent="0.25">
      <c r="A247" t="s">
        <v>289</v>
      </c>
      <c r="B247" t="s">
        <v>27</v>
      </c>
      <c r="C247" t="s">
        <v>33</v>
      </c>
      <c r="D247" t="s">
        <v>45</v>
      </c>
      <c r="E247">
        <v>45</v>
      </c>
      <c r="G247">
        <v>0</v>
      </c>
      <c r="H247" t="s">
        <v>286</v>
      </c>
    </row>
    <row r="248" spans="1:8" x14ac:dyDescent="0.25">
      <c r="A248" t="s">
        <v>289</v>
      </c>
      <c r="B248" t="s">
        <v>27</v>
      </c>
      <c r="C248" t="s">
        <v>33</v>
      </c>
      <c r="D248" t="s">
        <v>45</v>
      </c>
      <c r="E248">
        <v>46</v>
      </c>
      <c r="G248">
        <v>0</v>
      </c>
      <c r="H248" t="s">
        <v>286</v>
      </c>
    </row>
    <row r="249" spans="1:8" x14ac:dyDescent="0.25">
      <c r="A249" t="s">
        <v>289</v>
      </c>
      <c r="B249" t="s">
        <v>27</v>
      </c>
      <c r="C249" t="s">
        <v>33</v>
      </c>
      <c r="D249" t="s">
        <v>46</v>
      </c>
      <c r="E249">
        <v>45</v>
      </c>
      <c r="G249">
        <v>0</v>
      </c>
      <c r="H249" t="s">
        <v>286</v>
      </c>
    </row>
    <row r="250" spans="1:8" x14ac:dyDescent="0.25">
      <c r="A250" t="s">
        <v>289</v>
      </c>
      <c r="B250" t="s">
        <v>27</v>
      </c>
      <c r="C250" t="s">
        <v>33</v>
      </c>
      <c r="D250" t="s">
        <v>46</v>
      </c>
      <c r="E250">
        <v>46</v>
      </c>
      <c r="G250">
        <v>0</v>
      </c>
      <c r="H250" t="s">
        <v>286</v>
      </c>
    </row>
    <row r="251" spans="1:8" x14ac:dyDescent="0.25">
      <c r="A251" t="s">
        <v>290</v>
      </c>
      <c r="B251" t="s">
        <v>21</v>
      </c>
      <c r="C251" t="s">
        <v>31</v>
      </c>
      <c r="E251">
        <v>45</v>
      </c>
      <c r="G251">
        <v>0</v>
      </c>
      <c r="H251" t="s">
        <v>291</v>
      </c>
    </row>
    <row r="252" spans="1:8" x14ac:dyDescent="0.25">
      <c r="A252" t="s">
        <v>290</v>
      </c>
      <c r="B252" t="s">
        <v>21</v>
      </c>
      <c r="C252" t="s">
        <v>31</v>
      </c>
      <c r="E252">
        <v>46</v>
      </c>
      <c r="G252">
        <v>0</v>
      </c>
      <c r="H252" t="s">
        <v>291</v>
      </c>
    </row>
    <row r="253" spans="1:8" x14ac:dyDescent="0.25">
      <c r="A253" t="s">
        <v>290</v>
      </c>
      <c r="B253" t="s">
        <v>26</v>
      </c>
      <c r="C253" t="s">
        <v>32</v>
      </c>
      <c r="E253">
        <v>45</v>
      </c>
      <c r="G253">
        <v>0</v>
      </c>
      <c r="H253" t="s">
        <v>291</v>
      </c>
    </row>
    <row r="254" spans="1:8" x14ac:dyDescent="0.25">
      <c r="A254" t="s">
        <v>290</v>
      </c>
      <c r="B254" t="s">
        <v>26</v>
      </c>
      <c r="C254" t="s">
        <v>32</v>
      </c>
      <c r="E254">
        <v>46</v>
      </c>
      <c r="G254">
        <v>0</v>
      </c>
      <c r="H254" t="s">
        <v>291</v>
      </c>
    </row>
    <row r="255" spans="1:8" x14ac:dyDescent="0.25">
      <c r="A255" t="s">
        <v>290</v>
      </c>
      <c r="B255" t="s">
        <v>27</v>
      </c>
      <c r="C255" t="s">
        <v>33</v>
      </c>
      <c r="E255">
        <v>45</v>
      </c>
      <c r="G255">
        <v>0</v>
      </c>
      <c r="H255" t="s">
        <v>291</v>
      </c>
    </row>
    <row r="256" spans="1:8" x14ac:dyDescent="0.25">
      <c r="A256" t="s">
        <v>290</v>
      </c>
      <c r="B256" t="s">
        <v>27</v>
      </c>
      <c r="C256" t="s">
        <v>33</v>
      </c>
      <c r="E256">
        <v>46</v>
      </c>
      <c r="G256">
        <v>0</v>
      </c>
      <c r="H256" t="s">
        <v>291</v>
      </c>
    </row>
    <row r="257" spans="1:8" x14ac:dyDescent="0.25">
      <c r="A257" t="s">
        <v>290</v>
      </c>
      <c r="B257" t="s">
        <v>21</v>
      </c>
      <c r="C257" t="s">
        <v>31</v>
      </c>
      <c r="E257">
        <v>45</v>
      </c>
      <c r="G257">
        <v>0</v>
      </c>
      <c r="H257" t="s">
        <v>291</v>
      </c>
    </row>
    <row r="258" spans="1:8" x14ac:dyDescent="0.25">
      <c r="A258" t="s">
        <v>290</v>
      </c>
      <c r="B258" t="s">
        <v>21</v>
      </c>
      <c r="C258" t="s">
        <v>31</v>
      </c>
      <c r="E258">
        <v>46</v>
      </c>
      <c r="G258">
        <v>0</v>
      </c>
      <c r="H258" t="s">
        <v>291</v>
      </c>
    </row>
    <row r="259" spans="1:8" x14ac:dyDescent="0.25">
      <c r="A259" t="s">
        <v>290</v>
      </c>
      <c r="B259" t="s">
        <v>26</v>
      </c>
      <c r="C259" t="s">
        <v>32</v>
      </c>
      <c r="E259">
        <v>45</v>
      </c>
      <c r="G259">
        <v>0</v>
      </c>
      <c r="H259" t="s">
        <v>291</v>
      </c>
    </row>
    <row r="260" spans="1:8" x14ac:dyDescent="0.25">
      <c r="A260" t="s">
        <v>290</v>
      </c>
      <c r="B260" t="s">
        <v>26</v>
      </c>
      <c r="C260" t="s">
        <v>32</v>
      </c>
      <c r="E260">
        <v>46</v>
      </c>
      <c r="G260">
        <v>0</v>
      </c>
      <c r="H260" t="s">
        <v>291</v>
      </c>
    </row>
    <row r="261" spans="1:8" x14ac:dyDescent="0.25">
      <c r="A261" t="s">
        <v>290</v>
      </c>
      <c r="B261" t="s">
        <v>27</v>
      </c>
      <c r="C261" t="s">
        <v>33</v>
      </c>
      <c r="E261">
        <v>45</v>
      </c>
      <c r="G261">
        <v>0</v>
      </c>
      <c r="H261" t="s">
        <v>291</v>
      </c>
    </row>
    <row r="262" spans="1:8" x14ac:dyDescent="0.25">
      <c r="A262" t="s">
        <v>290</v>
      </c>
      <c r="B262" t="s">
        <v>27</v>
      </c>
      <c r="C262" t="s">
        <v>33</v>
      </c>
      <c r="E262">
        <v>46</v>
      </c>
      <c r="G262">
        <v>0</v>
      </c>
      <c r="H262" t="s">
        <v>291</v>
      </c>
    </row>
    <row r="263" spans="1:8" x14ac:dyDescent="0.25">
      <c r="A263" t="s">
        <v>290</v>
      </c>
      <c r="B263" t="s">
        <v>21</v>
      </c>
      <c r="C263" t="s">
        <v>31</v>
      </c>
      <c r="E263">
        <v>45</v>
      </c>
      <c r="G263">
        <v>0</v>
      </c>
      <c r="H263" t="s">
        <v>291</v>
      </c>
    </row>
    <row r="264" spans="1:8" x14ac:dyDescent="0.25">
      <c r="A264" t="s">
        <v>290</v>
      </c>
      <c r="B264" t="s">
        <v>21</v>
      </c>
      <c r="C264" t="s">
        <v>31</v>
      </c>
      <c r="E264">
        <v>46</v>
      </c>
      <c r="G264">
        <v>0</v>
      </c>
      <c r="H264" t="s">
        <v>291</v>
      </c>
    </row>
    <row r="265" spans="1:8" x14ac:dyDescent="0.25">
      <c r="A265" t="s">
        <v>290</v>
      </c>
      <c r="B265" t="s">
        <v>26</v>
      </c>
      <c r="C265" t="s">
        <v>32</v>
      </c>
      <c r="E265">
        <v>45</v>
      </c>
      <c r="G265">
        <v>0</v>
      </c>
      <c r="H265" t="s">
        <v>291</v>
      </c>
    </row>
    <row r="266" spans="1:8" x14ac:dyDescent="0.25">
      <c r="A266" t="s">
        <v>290</v>
      </c>
      <c r="B266" t="s">
        <v>26</v>
      </c>
      <c r="C266" t="s">
        <v>32</v>
      </c>
      <c r="E266">
        <v>46</v>
      </c>
      <c r="G266">
        <v>0</v>
      </c>
      <c r="H266" t="s">
        <v>291</v>
      </c>
    </row>
    <row r="267" spans="1:8" x14ac:dyDescent="0.25">
      <c r="A267" t="s">
        <v>290</v>
      </c>
      <c r="B267" t="s">
        <v>27</v>
      </c>
      <c r="C267" t="s">
        <v>33</v>
      </c>
      <c r="E267">
        <v>45</v>
      </c>
      <c r="G267">
        <v>0</v>
      </c>
      <c r="H267" t="s">
        <v>291</v>
      </c>
    </row>
    <row r="268" spans="1:8" x14ac:dyDescent="0.25">
      <c r="A268" t="s">
        <v>290</v>
      </c>
      <c r="B268" t="s">
        <v>27</v>
      </c>
      <c r="C268" t="s">
        <v>33</v>
      </c>
      <c r="E268">
        <v>46</v>
      </c>
      <c r="G268">
        <v>0</v>
      </c>
      <c r="H268" t="s">
        <v>291</v>
      </c>
    </row>
    <row r="269" spans="1:8" x14ac:dyDescent="0.25">
      <c r="A269" t="s">
        <v>292</v>
      </c>
      <c r="D269" t="s">
        <v>44</v>
      </c>
      <c r="F269" t="s">
        <v>71</v>
      </c>
      <c r="G269">
        <v>0</v>
      </c>
      <c r="H269" t="s">
        <v>291</v>
      </c>
    </row>
    <row r="270" spans="1:8" x14ac:dyDescent="0.25">
      <c r="A270" t="s">
        <v>292</v>
      </c>
      <c r="D270" t="s">
        <v>45</v>
      </c>
      <c r="F270" t="s">
        <v>71</v>
      </c>
      <c r="G270">
        <v>0</v>
      </c>
      <c r="H270" t="s">
        <v>291</v>
      </c>
    </row>
    <row r="271" spans="1:8" x14ac:dyDescent="0.25">
      <c r="A271" t="s">
        <v>292</v>
      </c>
      <c r="D271" t="s">
        <v>46</v>
      </c>
      <c r="F271" t="s">
        <v>71</v>
      </c>
      <c r="G271">
        <v>0</v>
      </c>
      <c r="H271" t="s">
        <v>291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/>
  </sheetViews>
  <sheetFormatPr defaultRowHeight="15" x14ac:dyDescent="0.25"/>
  <cols>
    <col min="1" max="1" width="10.5703125" bestFit="1" customWidth="1"/>
    <col min="2" max="2" width="15.5703125" bestFit="1" customWidth="1"/>
  </cols>
  <sheetData>
    <row r="1" spans="1:4" x14ac:dyDescent="0.25">
      <c r="A1" t="s">
        <v>77</v>
      </c>
      <c r="B1" t="s">
        <v>293</v>
      </c>
      <c r="C1" t="s">
        <v>294</v>
      </c>
      <c r="D1" t="s">
        <v>295</v>
      </c>
    </row>
    <row r="2" spans="1:4" x14ac:dyDescent="0.25">
      <c r="A2" t="s">
        <v>81</v>
      </c>
      <c r="B2" t="s">
        <v>296</v>
      </c>
      <c r="C2" t="s">
        <v>297</v>
      </c>
      <c r="D2" t="s">
        <v>298</v>
      </c>
    </row>
    <row r="3" spans="1:4" x14ac:dyDescent="0.25">
      <c r="A3" t="s">
        <v>83</v>
      </c>
      <c r="B3" t="s">
        <v>296</v>
      </c>
      <c r="C3" t="s">
        <v>299</v>
      </c>
      <c r="D3" t="s">
        <v>300</v>
      </c>
    </row>
    <row r="4" spans="1:4" x14ac:dyDescent="0.25">
      <c r="A4" t="s">
        <v>85</v>
      </c>
      <c r="B4" t="s">
        <v>296</v>
      </c>
      <c r="C4" t="s">
        <v>301</v>
      </c>
      <c r="D4" t="s">
        <v>302</v>
      </c>
    </row>
    <row r="5" spans="1:4" x14ac:dyDescent="0.25">
      <c r="A5" t="s">
        <v>89</v>
      </c>
      <c r="B5" t="s">
        <v>296</v>
      </c>
      <c r="C5" t="s">
        <v>303</v>
      </c>
      <c r="D5" t="s">
        <v>304</v>
      </c>
    </row>
    <row r="6" spans="1:4" x14ac:dyDescent="0.25">
      <c r="A6" t="s">
        <v>93</v>
      </c>
      <c r="B6" t="s">
        <v>296</v>
      </c>
      <c r="C6" t="s">
        <v>305</v>
      </c>
      <c r="D6" t="s">
        <v>306</v>
      </c>
    </row>
    <row r="7" spans="1:4" x14ac:dyDescent="0.25">
      <c r="A7" t="s">
        <v>91</v>
      </c>
      <c r="B7" t="s">
        <v>307</v>
      </c>
      <c r="C7" t="s">
        <v>308</v>
      </c>
      <c r="D7" t="s">
        <v>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7"/>
  <sheetViews>
    <sheetView workbookViewId="0"/>
  </sheetViews>
  <sheetFormatPr defaultRowHeight="15" x14ac:dyDescent="0.25"/>
  <cols>
    <col min="1" max="9" width="18" customWidth="1"/>
    <col min="10" max="10" width="16" customWidth="1"/>
  </cols>
  <sheetData>
    <row r="1" spans="1:10" x14ac:dyDescent="0.25">
      <c r="A1" t="s">
        <v>309</v>
      </c>
      <c r="B1" t="s">
        <v>310</v>
      </c>
      <c r="C1" t="s">
        <v>281</v>
      </c>
      <c r="D1" t="s">
        <v>253</v>
      </c>
      <c r="E1" t="s">
        <v>16</v>
      </c>
      <c r="F1" t="s">
        <v>257</v>
      </c>
      <c r="G1" t="s">
        <v>261</v>
      </c>
      <c r="H1" t="s">
        <v>262</v>
      </c>
      <c r="I1" t="s">
        <v>311</v>
      </c>
    </row>
    <row r="2" spans="1:10" x14ac:dyDescent="0.25">
      <c r="A2" t="s">
        <v>312</v>
      </c>
      <c r="B2" t="s">
        <v>21</v>
      </c>
      <c r="C2" t="s">
        <v>31</v>
      </c>
      <c r="D2" t="s">
        <v>44</v>
      </c>
      <c r="E2">
        <v>45</v>
      </c>
      <c r="G2">
        <f>SUMIFS(Decisions_struct!$G:$G,Decisions_struct!$A:$A,"S",Decisions_struct!$B:$B,"K",Decisions_struct!$D:$D,"P",Decisions_struct!$E:$E,45)</f>
        <v>0</v>
      </c>
      <c r="H2">
        <f>SUMIFS(Decisions_struct!$G:$G,Decisions_struct!$A:$A,"X",Decisions_struct!$B:$B,"K",Decisions_struct!$D:$D,"P",Decisions_struct!$E:$E,45)+SUMIFS(Decisions_struct!$G:$G,Decisions_struct!$A:$A,"XOT",Decisions_struct!$B:$B,"K",Decisions_struct!$D:$D,"P",Decisions_struct!$E:$E,45)</f>
        <v>0</v>
      </c>
      <c r="I2">
        <f t="shared" ref="I2:I19" si="0">N(G2)</f>
        <v>0</v>
      </c>
      <c r="J2">
        <f t="shared" ref="J2:J19" si="1">N(H2)</f>
        <v>0</v>
      </c>
    </row>
    <row r="3" spans="1:10" x14ac:dyDescent="0.25">
      <c r="A3" t="s">
        <v>312</v>
      </c>
      <c r="B3" t="s">
        <v>21</v>
      </c>
      <c r="C3" t="s">
        <v>31</v>
      </c>
      <c r="D3" t="s">
        <v>44</v>
      </c>
      <c r="E3">
        <v>46</v>
      </c>
      <c r="G3">
        <f>SUMIFS(Decisions_struct!$G:$G,Decisions_struct!$A:$A,"S",Decisions_struct!$B:$B,"K",Decisions_struct!$D:$D,"P",Decisions_struct!$E:$E,46)</f>
        <v>0</v>
      </c>
      <c r="H3">
        <f>SUMIFS(Decisions_struct!$G:$G,Decisions_struct!$A:$A,"X",Decisions_struct!$B:$B,"K",Decisions_struct!$D:$D,"P",Decisions_struct!$E:$E,46)+SUMIFS(Decisions_struct!$G:$G,Decisions_struct!$A:$A,"XOT",Decisions_struct!$B:$B,"K",Decisions_struct!$D:$D,"P",Decisions_struct!$E:$E,46)</f>
        <v>0</v>
      </c>
      <c r="I3">
        <f t="shared" si="0"/>
        <v>0</v>
      </c>
      <c r="J3">
        <f t="shared" si="1"/>
        <v>0</v>
      </c>
    </row>
    <row r="4" spans="1:10" x14ac:dyDescent="0.25">
      <c r="A4" t="s">
        <v>312</v>
      </c>
      <c r="B4" t="s">
        <v>21</v>
      </c>
      <c r="C4" t="s">
        <v>31</v>
      </c>
      <c r="D4" t="s">
        <v>45</v>
      </c>
      <c r="E4">
        <v>45</v>
      </c>
      <c r="G4">
        <f>SUMIFS(Decisions_struct!$G:$G,Decisions_struct!$A:$A,"S",Decisions_struct!$B:$B,"K",Decisions_struct!$D:$D,"T",Decisions_struct!$E:$E,45)</f>
        <v>0</v>
      </c>
      <c r="H4">
        <f>SUMIFS(Decisions_struct!$G:$G,Decisions_struct!$A:$A,"X",Decisions_struct!$B:$B,"K",Decisions_struct!$D:$D,"T",Decisions_struct!$E:$E,45)+SUMIFS(Decisions_struct!$G:$G,Decisions_struct!$A:$A,"XOT",Decisions_struct!$B:$B,"K",Decisions_struct!$D:$D,"T",Decisions_struct!$E:$E,45)</f>
        <v>0</v>
      </c>
      <c r="I4">
        <f t="shared" si="0"/>
        <v>0</v>
      </c>
      <c r="J4">
        <f t="shared" si="1"/>
        <v>0</v>
      </c>
    </row>
    <row r="5" spans="1:10" x14ac:dyDescent="0.25">
      <c r="A5" t="s">
        <v>312</v>
      </c>
      <c r="B5" t="s">
        <v>21</v>
      </c>
      <c r="C5" t="s">
        <v>31</v>
      </c>
      <c r="D5" t="s">
        <v>45</v>
      </c>
      <c r="E5">
        <v>46</v>
      </c>
      <c r="G5">
        <f>SUMIFS(Decisions_struct!$G:$G,Decisions_struct!$A:$A,"S",Decisions_struct!$B:$B,"K",Decisions_struct!$D:$D,"T",Decisions_struct!$E:$E,46)</f>
        <v>0</v>
      </c>
      <c r="H5">
        <f>SUMIFS(Decisions_struct!$G:$G,Decisions_struct!$A:$A,"X",Decisions_struct!$B:$B,"K",Decisions_struct!$D:$D,"T",Decisions_struct!$E:$E,46)+SUMIFS(Decisions_struct!$G:$G,Decisions_struct!$A:$A,"XOT",Decisions_struct!$B:$B,"K",Decisions_struct!$D:$D,"T",Decisions_struct!$E:$E,46)</f>
        <v>0</v>
      </c>
      <c r="I5">
        <f t="shared" si="0"/>
        <v>0</v>
      </c>
      <c r="J5">
        <f t="shared" si="1"/>
        <v>0</v>
      </c>
    </row>
    <row r="6" spans="1:10" x14ac:dyDescent="0.25">
      <c r="A6" t="s">
        <v>312</v>
      </c>
      <c r="B6" t="s">
        <v>21</v>
      </c>
      <c r="C6" t="s">
        <v>31</v>
      </c>
      <c r="D6" t="s">
        <v>46</v>
      </c>
      <c r="E6">
        <v>45</v>
      </c>
      <c r="G6">
        <f>SUMIFS(Decisions_struct!$G:$G,Decisions_struct!$A:$A,"S",Decisions_struct!$B:$B,"K",Decisions_struct!$D:$D,"L",Decisions_struct!$E:$E,45)</f>
        <v>0</v>
      </c>
      <c r="H6">
        <f>SUMIFS(Decisions_struct!$G:$G,Decisions_struct!$A:$A,"X",Decisions_struct!$B:$B,"K",Decisions_struct!$D:$D,"L",Decisions_struct!$E:$E,45)+SUMIFS(Decisions_struct!$G:$G,Decisions_struct!$A:$A,"XOT",Decisions_struct!$B:$B,"K",Decisions_struct!$D:$D,"L",Decisions_struct!$E:$E,45)</f>
        <v>0</v>
      </c>
      <c r="I6">
        <f t="shared" si="0"/>
        <v>0</v>
      </c>
      <c r="J6">
        <f t="shared" si="1"/>
        <v>0</v>
      </c>
    </row>
    <row r="7" spans="1:10" x14ac:dyDescent="0.25">
      <c r="A7" t="s">
        <v>312</v>
      </c>
      <c r="B7" t="s">
        <v>21</v>
      </c>
      <c r="C7" t="s">
        <v>31</v>
      </c>
      <c r="D7" t="s">
        <v>46</v>
      </c>
      <c r="E7">
        <v>46</v>
      </c>
      <c r="G7">
        <f>SUMIFS(Decisions_struct!$G:$G,Decisions_struct!$A:$A,"S",Decisions_struct!$B:$B,"K",Decisions_struct!$D:$D,"L",Decisions_struct!$E:$E,46)</f>
        <v>0</v>
      </c>
      <c r="H7">
        <f>SUMIFS(Decisions_struct!$G:$G,Decisions_struct!$A:$A,"X",Decisions_struct!$B:$B,"K",Decisions_struct!$D:$D,"L",Decisions_struct!$E:$E,46)+SUMIFS(Decisions_struct!$G:$G,Decisions_struct!$A:$A,"XOT",Decisions_struct!$B:$B,"K",Decisions_struct!$D:$D,"L",Decisions_struct!$E:$E,46)</f>
        <v>0</v>
      </c>
      <c r="I7">
        <f t="shared" si="0"/>
        <v>0</v>
      </c>
      <c r="J7">
        <f t="shared" si="1"/>
        <v>0</v>
      </c>
    </row>
    <row r="8" spans="1:10" x14ac:dyDescent="0.25">
      <c r="A8" t="s">
        <v>312</v>
      </c>
      <c r="B8" t="s">
        <v>26</v>
      </c>
      <c r="C8" t="s">
        <v>32</v>
      </c>
      <c r="D8" t="s">
        <v>44</v>
      </c>
      <c r="E8">
        <v>45</v>
      </c>
      <c r="G8">
        <f>SUMIFS(Decisions_struct!$G:$G,Decisions_struct!$A:$A,"S",Decisions_struct!$B:$B,"C",Decisions_struct!$D:$D,"P",Decisions_struct!$E:$E,45)</f>
        <v>0</v>
      </c>
      <c r="H8">
        <f>SUMIFS(Decisions_struct!$G:$G,Decisions_struct!$A:$A,"X",Decisions_struct!$B:$B,"C",Decisions_struct!$D:$D,"P",Decisions_struct!$E:$E,45)+SUMIFS(Decisions_struct!$G:$G,Decisions_struct!$A:$A,"XOT",Decisions_struct!$B:$B,"C",Decisions_struct!$D:$D,"P",Decisions_struct!$E:$E,45)</f>
        <v>0</v>
      </c>
      <c r="I8">
        <f t="shared" si="0"/>
        <v>0</v>
      </c>
      <c r="J8">
        <f t="shared" si="1"/>
        <v>0</v>
      </c>
    </row>
    <row r="9" spans="1:10" x14ac:dyDescent="0.25">
      <c r="A9" t="s">
        <v>312</v>
      </c>
      <c r="B9" t="s">
        <v>26</v>
      </c>
      <c r="C9" t="s">
        <v>32</v>
      </c>
      <c r="D9" t="s">
        <v>44</v>
      </c>
      <c r="E9">
        <v>46</v>
      </c>
      <c r="G9">
        <f>SUMIFS(Decisions_struct!$G:$G,Decisions_struct!$A:$A,"S",Decisions_struct!$B:$B,"C",Decisions_struct!$D:$D,"P",Decisions_struct!$E:$E,46)</f>
        <v>0</v>
      </c>
      <c r="H9">
        <f>SUMIFS(Decisions_struct!$G:$G,Decisions_struct!$A:$A,"X",Decisions_struct!$B:$B,"C",Decisions_struct!$D:$D,"P",Decisions_struct!$E:$E,46)+SUMIFS(Decisions_struct!$G:$G,Decisions_struct!$A:$A,"XOT",Decisions_struct!$B:$B,"C",Decisions_struct!$D:$D,"P",Decisions_struct!$E:$E,46)</f>
        <v>0</v>
      </c>
      <c r="I9">
        <f t="shared" si="0"/>
        <v>0</v>
      </c>
      <c r="J9">
        <f t="shared" si="1"/>
        <v>0</v>
      </c>
    </row>
    <row r="10" spans="1:10" x14ac:dyDescent="0.25">
      <c r="A10" t="s">
        <v>312</v>
      </c>
      <c r="B10" t="s">
        <v>26</v>
      </c>
      <c r="C10" t="s">
        <v>32</v>
      </c>
      <c r="D10" t="s">
        <v>45</v>
      </c>
      <c r="E10">
        <v>45</v>
      </c>
      <c r="G10">
        <f>SUMIFS(Decisions_struct!$G:$G,Decisions_struct!$A:$A,"S",Decisions_struct!$B:$B,"C",Decisions_struct!$D:$D,"T",Decisions_struct!$E:$E,45)</f>
        <v>0</v>
      </c>
      <c r="H10">
        <f>SUMIFS(Decisions_struct!$G:$G,Decisions_struct!$A:$A,"X",Decisions_struct!$B:$B,"C",Decisions_struct!$D:$D,"T",Decisions_struct!$E:$E,45)+SUMIFS(Decisions_struct!$G:$G,Decisions_struct!$A:$A,"XOT",Decisions_struct!$B:$B,"C",Decisions_struct!$D:$D,"T",Decisions_struct!$E:$E,45)</f>
        <v>0</v>
      </c>
      <c r="I10">
        <f t="shared" si="0"/>
        <v>0</v>
      </c>
      <c r="J10">
        <f t="shared" si="1"/>
        <v>0</v>
      </c>
    </row>
    <row r="11" spans="1:10" x14ac:dyDescent="0.25">
      <c r="A11" t="s">
        <v>312</v>
      </c>
      <c r="B11" t="s">
        <v>26</v>
      </c>
      <c r="C11" t="s">
        <v>32</v>
      </c>
      <c r="D11" t="s">
        <v>45</v>
      </c>
      <c r="E11">
        <v>46</v>
      </c>
      <c r="G11">
        <f>SUMIFS(Decisions_struct!$G:$G,Decisions_struct!$A:$A,"S",Decisions_struct!$B:$B,"C",Decisions_struct!$D:$D,"T",Decisions_struct!$E:$E,46)</f>
        <v>0</v>
      </c>
      <c r="H11">
        <f>SUMIFS(Decisions_struct!$G:$G,Decisions_struct!$A:$A,"X",Decisions_struct!$B:$B,"C",Decisions_struct!$D:$D,"T",Decisions_struct!$E:$E,46)+SUMIFS(Decisions_struct!$G:$G,Decisions_struct!$A:$A,"XOT",Decisions_struct!$B:$B,"C",Decisions_struct!$D:$D,"T",Decisions_struct!$E:$E,46)</f>
        <v>0</v>
      </c>
      <c r="I11">
        <f t="shared" si="0"/>
        <v>0</v>
      </c>
      <c r="J11">
        <f t="shared" si="1"/>
        <v>0</v>
      </c>
    </row>
    <row r="12" spans="1:10" x14ac:dyDescent="0.25">
      <c r="A12" t="s">
        <v>312</v>
      </c>
      <c r="B12" t="s">
        <v>26</v>
      </c>
      <c r="C12" t="s">
        <v>32</v>
      </c>
      <c r="D12" t="s">
        <v>46</v>
      </c>
      <c r="E12">
        <v>45</v>
      </c>
      <c r="G12">
        <f>SUMIFS(Decisions_struct!$G:$G,Decisions_struct!$A:$A,"S",Decisions_struct!$B:$B,"C",Decisions_struct!$D:$D,"L",Decisions_struct!$E:$E,45)</f>
        <v>0</v>
      </c>
      <c r="H12">
        <f>SUMIFS(Decisions_struct!$G:$G,Decisions_struct!$A:$A,"X",Decisions_struct!$B:$B,"C",Decisions_struct!$D:$D,"L",Decisions_struct!$E:$E,45)+SUMIFS(Decisions_struct!$G:$G,Decisions_struct!$A:$A,"XOT",Decisions_struct!$B:$B,"C",Decisions_struct!$D:$D,"L",Decisions_struct!$E:$E,45)</f>
        <v>0</v>
      </c>
      <c r="I12">
        <f t="shared" si="0"/>
        <v>0</v>
      </c>
      <c r="J12">
        <f t="shared" si="1"/>
        <v>0</v>
      </c>
    </row>
    <row r="13" spans="1:10" x14ac:dyDescent="0.25">
      <c r="A13" t="s">
        <v>312</v>
      </c>
      <c r="B13" t="s">
        <v>26</v>
      </c>
      <c r="C13" t="s">
        <v>32</v>
      </c>
      <c r="D13" t="s">
        <v>46</v>
      </c>
      <c r="E13">
        <v>46</v>
      </c>
      <c r="G13">
        <f>SUMIFS(Decisions_struct!$G:$G,Decisions_struct!$A:$A,"S",Decisions_struct!$B:$B,"C",Decisions_struct!$D:$D,"L",Decisions_struct!$E:$E,46)</f>
        <v>0</v>
      </c>
      <c r="H13">
        <f>SUMIFS(Decisions_struct!$G:$G,Decisions_struct!$A:$A,"X",Decisions_struct!$B:$B,"C",Decisions_struct!$D:$D,"L",Decisions_struct!$E:$E,46)+SUMIFS(Decisions_struct!$G:$G,Decisions_struct!$A:$A,"XOT",Decisions_struct!$B:$B,"C",Decisions_struct!$D:$D,"L",Decisions_struct!$E:$E,46)</f>
        <v>0</v>
      </c>
      <c r="I13">
        <f t="shared" si="0"/>
        <v>0</v>
      </c>
      <c r="J13">
        <f t="shared" si="1"/>
        <v>0</v>
      </c>
    </row>
    <row r="14" spans="1:10" x14ac:dyDescent="0.25">
      <c r="A14" t="s">
        <v>312</v>
      </c>
      <c r="B14" t="s">
        <v>27</v>
      </c>
      <c r="C14" t="s">
        <v>33</v>
      </c>
      <c r="D14" t="s">
        <v>44</v>
      </c>
      <c r="E14">
        <v>45</v>
      </c>
      <c r="G14">
        <f>SUMIFS(Decisions_struct!$G:$G,Decisions_struct!$A:$A,"S",Decisions_struct!$B:$B,"G",Decisions_struct!$D:$D,"P",Decisions_struct!$E:$E,45)</f>
        <v>0</v>
      </c>
      <c r="H14">
        <f>SUMIFS(Decisions_struct!$G:$G,Decisions_struct!$A:$A,"X",Decisions_struct!$B:$B,"G",Decisions_struct!$D:$D,"P",Decisions_struct!$E:$E,45)+SUMIFS(Decisions_struct!$G:$G,Decisions_struct!$A:$A,"XOT",Decisions_struct!$B:$B,"G",Decisions_struct!$D:$D,"P",Decisions_struct!$E:$E,45)</f>
        <v>0</v>
      </c>
      <c r="I14">
        <f t="shared" si="0"/>
        <v>0</v>
      </c>
      <c r="J14">
        <f t="shared" si="1"/>
        <v>0</v>
      </c>
    </row>
    <row r="15" spans="1:10" x14ac:dyDescent="0.25">
      <c r="A15" t="s">
        <v>312</v>
      </c>
      <c r="B15" t="s">
        <v>27</v>
      </c>
      <c r="C15" t="s">
        <v>33</v>
      </c>
      <c r="D15" t="s">
        <v>44</v>
      </c>
      <c r="E15">
        <v>46</v>
      </c>
      <c r="G15">
        <f>SUMIFS(Decisions_struct!$G:$G,Decisions_struct!$A:$A,"S",Decisions_struct!$B:$B,"G",Decisions_struct!$D:$D,"P",Decisions_struct!$E:$E,46)</f>
        <v>0</v>
      </c>
      <c r="H15">
        <f>SUMIFS(Decisions_struct!$G:$G,Decisions_struct!$A:$A,"X",Decisions_struct!$B:$B,"G",Decisions_struct!$D:$D,"P",Decisions_struct!$E:$E,46)+SUMIFS(Decisions_struct!$G:$G,Decisions_struct!$A:$A,"XOT",Decisions_struct!$B:$B,"G",Decisions_struct!$D:$D,"P",Decisions_struct!$E:$E,46)</f>
        <v>0</v>
      </c>
      <c r="I15">
        <f t="shared" si="0"/>
        <v>0</v>
      </c>
      <c r="J15">
        <f t="shared" si="1"/>
        <v>0</v>
      </c>
    </row>
    <row r="16" spans="1:10" x14ac:dyDescent="0.25">
      <c r="A16" t="s">
        <v>312</v>
      </c>
      <c r="B16" t="s">
        <v>27</v>
      </c>
      <c r="C16" t="s">
        <v>33</v>
      </c>
      <c r="D16" t="s">
        <v>45</v>
      </c>
      <c r="E16">
        <v>45</v>
      </c>
      <c r="G16">
        <f>SUMIFS(Decisions_struct!$G:$G,Decisions_struct!$A:$A,"S",Decisions_struct!$B:$B,"G",Decisions_struct!$D:$D,"T",Decisions_struct!$E:$E,45)</f>
        <v>0</v>
      </c>
      <c r="H16">
        <f>SUMIFS(Decisions_struct!$G:$G,Decisions_struct!$A:$A,"X",Decisions_struct!$B:$B,"G",Decisions_struct!$D:$D,"T",Decisions_struct!$E:$E,45)+SUMIFS(Decisions_struct!$G:$G,Decisions_struct!$A:$A,"XOT",Decisions_struct!$B:$B,"G",Decisions_struct!$D:$D,"T",Decisions_struct!$E:$E,45)</f>
        <v>0</v>
      </c>
      <c r="I16">
        <f t="shared" si="0"/>
        <v>0</v>
      </c>
      <c r="J16">
        <f t="shared" si="1"/>
        <v>0</v>
      </c>
    </row>
    <row r="17" spans="1:10" x14ac:dyDescent="0.25">
      <c r="A17" t="s">
        <v>312</v>
      </c>
      <c r="B17" t="s">
        <v>27</v>
      </c>
      <c r="C17" t="s">
        <v>33</v>
      </c>
      <c r="D17" t="s">
        <v>45</v>
      </c>
      <c r="E17">
        <v>46</v>
      </c>
      <c r="G17">
        <f>SUMIFS(Decisions_struct!$G:$G,Decisions_struct!$A:$A,"S",Decisions_struct!$B:$B,"G",Decisions_struct!$D:$D,"T",Decisions_struct!$E:$E,46)</f>
        <v>0</v>
      </c>
      <c r="H17">
        <f>SUMIFS(Decisions_struct!$G:$G,Decisions_struct!$A:$A,"X",Decisions_struct!$B:$B,"G",Decisions_struct!$D:$D,"T",Decisions_struct!$E:$E,46)+SUMIFS(Decisions_struct!$G:$G,Decisions_struct!$A:$A,"XOT",Decisions_struct!$B:$B,"G",Decisions_struct!$D:$D,"T",Decisions_struct!$E:$E,46)</f>
        <v>0</v>
      </c>
      <c r="I17">
        <f t="shared" si="0"/>
        <v>0</v>
      </c>
      <c r="J17">
        <f t="shared" si="1"/>
        <v>0</v>
      </c>
    </row>
    <row r="18" spans="1:10" x14ac:dyDescent="0.25">
      <c r="A18" t="s">
        <v>312</v>
      </c>
      <c r="B18" t="s">
        <v>27</v>
      </c>
      <c r="C18" t="s">
        <v>33</v>
      </c>
      <c r="D18" t="s">
        <v>46</v>
      </c>
      <c r="E18">
        <v>45</v>
      </c>
      <c r="G18">
        <f>SUMIFS(Decisions_struct!$G:$G,Decisions_struct!$A:$A,"S",Decisions_struct!$B:$B,"G",Decisions_struct!$D:$D,"L",Decisions_struct!$E:$E,45)</f>
        <v>0</v>
      </c>
      <c r="H18">
        <f>SUMIFS(Decisions_struct!$G:$G,Decisions_struct!$A:$A,"X",Decisions_struct!$B:$B,"G",Decisions_struct!$D:$D,"L",Decisions_struct!$E:$E,45)+SUMIFS(Decisions_struct!$G:$G,Decisions_struct!$A:$A,"XOT",Decisions_struct!$B:$B,"G",Decisions_struct!$D:$D,"L",Decisions_struct!$E:$E,45)</f>
        <v>0</v>
      </c>
      <c r="I18">
        <f t="shared" si="0"/>
        <v>0</v>
      </c>
      <c r="J18">
        <f t="shared" si="1"/>
        <v>0</v>
      </c>
    </row>
    <row r="19" spans="1:10" x14ac:dyDescent="0.25">
      <c r="A19" t="s">
        <v>312</v>
      </c>
      <c r="B19" t="s">
        <v>27</v>
      </c>
      <c r="C19" t="s">
        <v>33</v>
      </c>
      <c r="D19" t="s">
        <v>46</v>
      </c>
      <c r="E19">
        <v>46</v>
      </c>
      <c r="G19">
        <f>SUMIFS(Decisions_struct!$G:$G,Decisions_struct!$A:$A,"S",Decisions_struct!$B:$B,"G",Decisions_struct!$D:$D,"L",Decisions_struct!$E:$E,46)</f>
        <v>0</v>
      </c>
      <c r="H19">
        <f>SUMIFS(Decisions_struct!$G:$G,Decisions_struct!$A:$A,"X",Decisions_struct!$B:$B,"G",Decisions_struct!$D:$D,"L",Decisions_struct!$E:$E,46)+SUMIFS(Decisions_struct!$G:$G,Decisions_struct!$A:$A,"XOT",Decisions_struct!$B:$B,"G",Decisions_struct!$D:$D,"L",Decisions_struct!$E:$E,46)</f>
        <v>0</v>
      </c>
      <c r="I19">
        <f t="shared" si="0"/>
        <v>0</v>
      </c>
      <c r="J19">
        <f t="shared" si="1"/>
        <v>0</v>
      </c>
    </row>
    <row r="21" spans="1:10" x14ac:dyDescent="0.25">
      <c r="A21" t="s">
        <v>313</v>
      </c>
      <c r="D21" t="s">
        <v>44</v>
      </c>
      <c r="F21" t="s">
        <v>69</v>
      </c>
      <c r="G21">
        <f>SUMIFS(Decisions_struct!$G:$G,Decisions_struct!$A:$A,"S",Decisions_struct!$F:$F,"Orange",Decisions_struct!$D:$D,"P")</f>
        <v>0</v>
      </c>
      <c r="H21">
        <f>Demand!$C$3</f>
        <v>60000</v>
      </c>
      <c r="I21">
        <f t="shared" ref="I21:I35" si="2">N(G21)</f>
        <v>0</v>
      </c>
      <c r="J21">
        <f t="shared" ref="J21:J35" si="3">N(H21)</f>
        <v>60000</v>
      </c>
    </row>
    <row r="22" spans="1:10" x14ac:dyDescent="0.25">
      <c r="A22" t="s">
        <v>313</v>
      </c>
      <c r="D22" t="s">
        <v>45</v>
      </c>
      <c r="F22" t="s">
        <v>69</v>
      </c>
      <c r="G22">
        <f>SUMIFS(Decisions_struct!$G:$G,Decisions_struct!$A:$A,"S",Decisions_struct!$F:$F,"Orange",Decisions_struct!$D:$D,"T")</f>
        <v>0</v>
      </c>
      <c r="H22">
        <f>Demand!$C$4</f>
        <v>20000</v>
      </c>
      <c r="I22">
        <f t="shared" si="2"/>
        <v>0</v>
      </c>
      <c r="J22">
        <f t="shared" si="3"/>
        <v>20000</v>
      </c>
    </row>
    <row r="23" spans="1:10" x14ac:dyDescent="0.25">
      <c r="A23" t="s">
        <v>313</v>
      </c>
      <c r="D23" t="s">
        <v>46</v>
      </c>
      <c r="F23" t="s">
        <v>69</v>
      </c>
      <c r="G23">
        <f>SUMIFS(Decisions_struct!$G:$G,Decisions_struct!$A:$A,"S",Decisions_struct!$F:$F,"Orange",Decisions_struct!$D:$D,"L")</f>
        <v>0</v>
      </c>
      <c r="H23">
        <f>Demand!$C$5</f>
        <v>18000</v>
      </c>
      <c r="I23">
        <f t="shared" si="2"/>
        <v>0</v>
      </c>
      <c r="J23">
        <f t="shared" si="3"/>
        <v>18000</v>
      </c>
    </row>
    <row r="24" spans="1:10" x14ac:dyDescent="0.25">
      <c r="A24" t="s">
        <v>313</v>
      </c>
      <c r="D24" t="s">
        <v>44</v>
      </c>
      <c r="F24" t="s">
        <v>70</v>
      </c>
      <c r="G24">
        <f>SUMIFS(Decisions_struct!$G:$G,Decisions_struct!$A:$A,"S",Decisions_struct!$F:$F,"Enterprise",Decisions_struct!$D:$D,"P")</f>
        <v>0</v>
      </c>
      <c r="H24">
        <f>Demand!$C$6</f>
        <v>10000</v>
      </c>
      <c r="I24">
        <f t="shared" si="2"/>
        <v>0</v>
      </c>
      <c r="J24">
        <f t="shared" si="3"/>
        <v>10000</v>
      </c>
    </row>
    <row r="25" spans="1:10" x14ac:dyDescent="0.25">
      <c r="A25" t="s">
        <v>313</v>
      </c>
      <c r="D25" t="s">
        <v>45</v>
      </c>
      <c r="F25" t="s">
        <v>70</v>
      </c>
      <c r="G25">
        <f>SUMIFS(Decisions_struct!$G:$G,Decisions_struct!$A:$A,"S",Decisions_struct!$F:$F,"Enterprise",Decisions_struct!$D:$D,"T")</f>
        <v>0</v>
      </c>
      <c r="H25">
        <f>Demand!$C$7</f>
        <v>5000</v>
      </c>
      <c r="I25">
        <f t="shared" si="2"/>
        <v>0</v>
      </c>
      <c r="J25">
        <f t="shared" si="3"/>
        <v>5000</v>
      </c>
    </row>
    <row r="26" spans="1:10" x14ac:dyDescent="0.25">
      <c r="A26" t="s">
        <v>313</v>
      </c>
      <c r="D26" t="s">
        <v>46</v>
      </c>
      <c r="F26" t="s">
        <v>70</v>
      </c>
      <c r="G26">
        <f>SUMIFS(Decisions_struct!$G:$G,Decisions_struct!$A:$A,"S",Decisions_struct!$F:$F,"Enterprise",Decisions_struct!$D:$D,"L")</f>
        <v>0</v>
      </c>
      <c r="H26">
        <f>Demand!$C$8</f>
        <v>30000</v>
      </c>
      <c r="I26">
        <f t="shared" si="2"/>
        <v>0</v>
      </c>
      <c r="J26">
        <f t="shared" si="3"/>
        <v>30000</v>
      </c>
    </row>
    <row r="27" spans="1:10" x14ac:dyDescent="0.25">
      <c r="A27" t="s">
        <v>313</v>
      </c>
      <c r="D27" t="s">
        <v>44</v>
      </c>
      <c r="F27" t="s">
        <v>71</v>
      </c>
      <c r="G27">
        <f>SUMIFS(Decisions_struct!$G:$G,Decisions_struct!$A:$A,"S",Decisions_struct!$F:$F,"Amazon",Decisions_struct!$D:$D,"P")</f>
        <v>0</v>
      </c>
      <c r="H27">
        <f>Demand!$C$9</f>
        <v>80000</v>
      </c>
      <c r="I27">
        <f t="shared" si="2"/>
        <v>0</v>
      </c>
      <c r="J27">
        <f t="shared" si="3"/>
        <v>80000</v>
      </c>
    </row>
    <row r="28" spans="1:10" x14ac:dyDescent="0.25">
      <c r="A28" t="s">
        <v>313</v>
      </c>
      <c r="D28" t="s">
        <v>45</v>
      </c>
      <c r="F28" t="s">
        <v>71</v>
      </c>
      <c r="G28">
        <f>SUMIFS(Decisions_struct!$G:$G,Decisions_struct!$A:$A,"S",Decisions_struct!$F:$F,"Amazon",Decisions_struct!$D:$D,"T")</f>
        <v>0</v>
      </c>
      <c r="H28">
        <f>Demand!$C$10</f>
        <v>40000</v>
      </c>
      <c r="I28">
        <f t="shared" si="2"/>
        <v>0</v>
      </c>
      <c r="J28">
        <f t="shared" si="3"/>
        <v>40000</v>
      </c>
    </row>
    <row r="29" spans="1:10" x14ac:dyDescent="0.25">
      <c r="A29" t="s">
        <v>313</v>
      </c>
      <c r="D29" t="s">
        <v>46</v>
      </c>
      <c r="F29" t="s">
        <v>71</v>
      </c>
      <c r="G29">
        <f>SUMIFS(Decisions_struct!$G:$G,Decisions_struct!$A:$A,"S",Decisions_struct!$F:$F,"Amazon",Decisions_struct!$D:$D,"L")</f>
        <v>0</v>
      </c>
      <c r="H29">
        <f>Demand!$C$11</f>
        <v>25000</v>
      </c>
      <c r="I29">
        <f t="shared" si="2"/>
        <v>0</v>
      </c>
      <c r="J29">
        <f t="shared" si="3"/>
        <v>25000</v>
      </c>
    </row>
    <row r="30" spans="1:10" x14ac:dyDescent="0.25">
      <c r="A30" t="s">
        <v>313</v>
      </c>
      <c r="D30" t="s">
        <v>44</v>
      </c>
      <c r="F30" t="s">
        <v>72</v>
      </c>
      <c r="G30">
        <f>SUMIFS(Decisions_struct!$G:$G,Decisions_struct!$A:$A,"S",Decisions_struct!$F:$F,"BestBuy",Decisions_struct!$D:$D,"P")</f>
        <v>0</v>
      </c>
      <c r="H30">
        <f>Demand!$C$12</f>
        <v>50000</v>
      </c>
      <c r="I30">
        <f t="shared" si="2"/>
        <v>0</v>
      </c>
      <c r="J30">
        <f t="shared" si="3"/>
        <v>50000</v>
      </c>
    </row>
    <row r="31" spans="1:10" x14ac:dyDescent="0.25">
      <c r="A31" t="s">
        <v>313</v>
      </c>
      <c r="D31" t="s">
        <v>45</v>
      </c>
      <c r="F31" t="s">
        <v>72</v>
      </c>
      <c r="G31">
        <f>SUMIFS(Decisions_struct!$G:$G,Decisions_struct!$A:$A,"S",Decisions_struct!$F:$F,"BestBuy",Decisions_struct!$D:$D,"T")</f>
        <v>0</v>
      </c>
      <c r="H31">
        <f>Demand!$C$13</f>
        <v>30000</v>
      </c>
      <c r="I31">
        <f t="shared" si="2"/>
        <v>0</v>
      </c>
      <c r="J31">
        <f t="shared" si="3"/>
        <v>30000</v>
      </c>
    </row>
    <row r="32" spans="1:10" x14ac:dyDescent="0.25">
      <c r="A32" t="s">
        <v>313</v>
      </c>
      <c r="D32" t="s">
        <v>46</v>
      </c>
      <c r="F32" t="s">
        <v>72</v>
      </c>
      <c r="G32">
        <f>SUMIFS(Decisions_struct!$G:$G,Decisions_struct!$A:$A,"S",Decisions_struct!$F:$F,"BestBuy",Decisions_struct!$D:$D,"L")</f>
        <v>0</v>
      </c>
      <c r="H32">
        <f>Demand!$C$14</f>
        <v>15000</v>
      </c>
      <c r="I32">
        <f t="shared" si="2"/>
        <v>0</v>
      </c>
      <c r="J32">
        <f t="shared" si="3"/>
        <v>15000</v>
      </c>
    </row>
    <row r="33" spans="1:10" x14ac:dyDescent="0.25">
      <c r="A33" t="s">
        <v>313</v>
      </c>
      <c r="D33" t="s">
        <v>44</v>
      </c>
      <c r="F33" t="s">
        <v>73</v>
      </c>
      <c r="G33">
        <f>SUMIFS(Decisions_struct!$G:$G,Decisions_struct!$A:$A,"S",Decisions_struct!$F:$F,"Target",Decisions_struct!$D:$D,"P")</f>
        <v>0</v>
      </c>
      <c r="H33">
        <f>Demand!$C$15</f>
        <v>35000</v>
      </c>
      <c r="I33">
        <f t="shared" si="2"/>
        <v>0</v>
      </c>
      <c r="J33">
        <f t="shared" si="3"/>
        <v>35000</v>
      </c>
    </row>
    <row r="34" spans="1:10" x14ac:dyDescent="0.25">
      <c r="A34" t="s">
        <v>313</v>
      </c>
      <c r="D34" t="s">
        <v>45</v>
      </c>
      <c r="F34" t="s">
        <v>73</v>
      </c>
      <c r="G34">
        <f>SUMIFS(Decisions_struct!$G:$G,Decisions_struct!$A:$A,"S",Decisions_struct!$F:$F,"Target",Decisions_struct!$D:$D,"T")</f>
        <v>0</v>
      </c>
      <c r="H34">
        <f>Demand!$C$16</f>
        <v>25000</v>
      </c>
      <c r="I34">
        <f t="shared" si="2"/>
        <v>0</v>
      </c>
      <c r="J34">
        <f t="shared" si="3"/>
        <v>25000</v>
      </c>
    </row>
    <row r="35" spans="1:10" x14ac:dyDescent="0.25">
      <c r="A35" t="s">
        <v>313</v>
      </c>
      <c r="D35" t="s">
        <v>46</v>
      </c>
      <c r="F35" t="s">
        <v>73</v>
      </c>
      <c r="G35">
        <f>SUMIFS(Decisions_struct!$G:$G,Decisions_struct!$A:$A,"S",Decisions_struct!$F:$F,"Target",Decisions_struct!$D:$D,"L")</f>
        <v>0</v>
      </c>
      <c r="H35">
        <f>Demand!$C$17</f>
        <v>10000</v>
      </c>
      <c r="I35">
        <f t="shared" si="2"/>
        <v>0</v>
      </c>
      <c r="J35">
        <f t="shared" si="3"/>
        <v>10000</v>
      </c>
    </row>
    <row r="37" spans="1:10" x14ac:dyDescent="0.25">
      <c r="A37" t="s">
        <v>314</v>
      </c>
      <c r="B37" t="s">
        <v>21</v>
      </c>
      <c r="C37" t="s">
        <v>31</v>
      </c>
      <c r="E37">
        <v>45</v>
      </c>
      <c r="G37">
        <f>1*(SUMIFS(Decisions_struct!$G:$G,Decisions_struct!$A:$A,"X",Decisions_struct!$B:$B,"K",Decisions_struct!$D:$D,"P",Decisions_struct!$E:$E,45)+SUMIFS(Decisions_struct!$G:$G,Decisions_struct!$A:$A,"XOT",Decisions_struct!$B:$B,"K",Decisions_struct!$D:$D,"P",Decisions_struct!$E:$E,45))+1.5*(SUMIFS(Decisions_struct!$G:$G,Decisions_struct!$A:$A,"X",Decisions_struct!$B:$B,"K",Decisions_struct!$D:$D,"T",Decisions_struct!$E:$E,45)+SUMIFS(Decisions_struct!$G:$G,Decisions_struct!$A:$A,"XOT",Decisions_struct!$B:$B,"K",Decisions_struct!$D:$D,"T",Decisions_struct!$E:$E,45))+2*(SUMIFS(Decisions_struct!$G:$G,Decisions_struct!$A:$A,"X",Decisions_struct!$B:$B,"K",Decisions_struct!$D:$D,"L",Decisions_struct!$E:$E,45)+SUMIFS(Decisions_struct!$G:$G,Decisions_struct!$A:$A,"XOT",Decisions_struct!$B:$B,"K",Decisions_struct!$D:$D,"L",Decisions_struct!$E:$E,45))</f>
        <v>0</v>
      </c>
      <c r="H37">
        <f>18</f>
        <v>18</v>
      </c>
      <c r="I37">
        <f t="shared" ref="I37:J42" si="4">N(G37)</f>
        <v>0</v>
      </c>
      <c r="J37">
        <f t="shared" si="4"/>
        <v>18</v>
      </c>
    </row>
    <row r="38" spans="1:10" x14ac:dyDescent="0.25">
      <c r="A38" t="s">
        <v>314</v>
      </c>
      <c r="B38" t="s">
        <v>21</v>
      </c>
      <c r="C38" t="s">
        <v>31</v>
      </c>
      <c r="E38">
        <v>46</v>
      </c>
      <c r="G38">
        <f>1*(SUMIFS(Decisions_struct!$G:$G,Decisions_struct!$A:$A,"X",Decisions_struct!$B:$B,"K",Decisions_struct!$D:$D,"P",Decisions_struct!$E:$E,46)+SUMIFS(Decisions_struct!$G:$G,Decisions_struct!$A:$A,"XOT",Decisions_struct!$B:$B,"K",Decisions_struct!$D:$D,"P",Decisions_struct!$E:$E,46))+1.5*(SUMIFS(Decisions_struct!$G:$G,Decisions_struct!$A:$A,"X",Decisions_struct!$B:$B,"K",Decisions_struct!$D:$D,"T",Decisions_struct!$E:$E,46)+SUMIFS(Decisions_struct!$G:$G,Decisions_struct!$A:$A,"XOT",Decisions_struct!$B:$B,"K",Decisions_struct!$D:$D,"T",Decisions_struct!$E:$E,46))+2*(SUMIFS(Decisions_struct!$G:$G,Decisions_struct!$A:$A,"X",Decisions_struct!$B:$B,"K",Decisions_struct!$D:$D,"L",Decisions_struct!$E:$E,46)+SUMIFS(Decisions_struct!$G:$G,Decisions_struct!$A:$A,"XOT",Decisions_struct!$B:$B,"K",Decisions_struct!$D:$D,"L",Decisions_struct!$E:$E,46))</f>
        <v>0</v>
      </c>
      <c r="H38">
        <f>18</f>
        <v>18</v>
      </c>
      <c r="I38">
        <f t="shared" si="4"/>
        <v>0</v>
      </c>
      <c r="J38">
        <f t="shared" si="4"/>
        <v>18</v>
      </c>
    </row>
    <row r="39" spans="1:10" x14ac:dyDescent="0.25">
      <c r="A39" t="s">
        <v>314</v>
      </c>
      <c r="B39" t="s">
        <v>26</v>
      </c>
      <c r="C39" t="s">
        <v>32</v>
      </c>
      <c r="E39">
        <v>45</v>
      </c>
      <c r="G39">
        <f>1*(SUMIFS(Decisions_struct!$G:$G,Decisions_struct!$A:$A,"X",Decisions_struct!$B:$B,"C",Decisions_struct!$D:$D,"P",Decisions_struct!$E:$E,45)+SUMIFS(Decisions_struct!$G:$G,Decisions_struct!$A:$A,"XOT",Decisions_struct!$B:$B,"C",Decisions_struct!$D:$D,"P",Decisions_struct!$E:$E,45))+1.5*(SUMIFS(Decisions_struct!$G:$G,Decisions_struct!$A:$A,"X",Decisions_struct!$B:$B,"C",Decisions_struct!$D:$D,"T",Decisions_struct!$E:$E,45)+SUMIFS(Decisions_struct!$G:$G,Decisions_struct!$A:$A,"XOT",Decisions_struct!$B:$B,"C",Decisions_struct!$D:$D,"T",Decisions_struct!$E:$E,45))+2*(SUMIFS(Decisions_struct!$G:$G,Decisions_struct!$A:$A,"X",Decisions_struct!$B:$B,"C",Decisions_struct!$D:$D,"L",Decisions_struct!$E:$E,45)+SUMIFS(Decisions_struct!$G:$G,Decisions_struct!$A:$A,"XOT",Decisions_struct!$B:$B,"C",Decisions_struct!$D:$D,"L",Decisions_struct!$E:$E,45))</f>
        <v>0</v>
      </c>
      <c r="H39">
        <f>20</f>
        <v>20</v>
      </c>
      <c r="I39">
        <f t="shared" si="4"/>
        <v>0</v>
      </c>
      <c r="J39">
        <f t="shared" si="4"/>
        <v>20</v>
      </c>
    </row>
    <row r="40" spans="1:10" x14ac:dyDescent="0.25">
      <c r="A40" t="s">
        <v>314</v>
      </c>
      <c r="B40" t="s">
        <v>26</v>
      </c>
      <c r="C40" t="s">
        <v>32</v>
      </c>
      <c r="E40">
        <v>46</v>
      </c>
      <c r="G40">
        <f>1*(SUMIFS(Decisions_struct!$G:$G,Decisions_struct!$A:$A,"X",Decisions_struct!$B:$B,"C",Decisions_struct!$D:$D,"P",Decisions_struct!$E:$E,46)+SUMIFS(Decisions_struct!$G:$G,Decisions_struct!$A:$A,"XOT",Decisions_struct!$B:$B,"C",Decisions_struct!$D:$D,"P",Decisions_struct!$E:$E,46))+1.5*(SUMIFS(Decisions_struct!$G:$G,Decisions_struct!$A:$A,"X",Decisions_struct!$B:$B,"C",Decisions_struct!$D:$D,"T",Decisions_struct!$E:$E,46)+SUMIFS(Decisions_struct!$G:$G,Decisions_struct!$A:$A,"XOT",Decisions_struct!$B:$B,"C",Decisions_struct!$D:$D,"T",Decisions_struct!$E:$E,46))+2*(SUMIFS(Decisions_struct!$G:$G,Decisions_struct!$A:$A,"X",Decisions_struct!$B:$B,"C",Decisions_struct!$D:$D,"L",Decisions_struct!$E:$E,46)+SUMIFS(Decisions_struct!$G:$G,Decisions_struct!$A:$A,"XOT",Decisions_struct!$B:$B,"C",Decisions_struct!$D:$D,"L",Decisions_struct!$E:$E,46))</f>
        <v>0</v>
      </c>
      <c r="H40">
        <f>20</f>
        <v>20</v>
      </c>
      <c r="I40">
        <f t="shared" si="4"/>
        <v>0</v>
      </c>
      <c r="J40">
        <f t="shared" si="4"/>
        <v>20</v>
      </c>
    </row>
    <row r="41" spans="1:10" x14ac:dyDescent="0.25">
      <c r="A41" t="s">
        <v>314</v>
      </c>
      <c r="B41" t="s">
        <v>27</v>
      </c>
      <c r="C41" t="s">
        <v>33</v>
      </c>
      <c r="E41">
        <v>45</v>
      </c>
      <c r="G41">
        <f>1*(SUMIFS(Decisions_struct!$G:$G,Decisions_struct!$A:$A,"X",Decisions_struct!$B:$B,"G",Decisions_struct!$D:$D,"P",Decisions_struct!$E:$E,45)+SUMIFS(Decisions_struct!$G:$G,Decisions_struct!$A:$A,"XOT",Decisions_struct!$B:$B,"G",Decisions_struct!$D:$D,"P",Decisions_struct!$E:$E,45))+1.5*(SUMIFS(Decisions_struct!$G:$G,Decisions_struct!$A:$A,"X",Decisions_struct!$B:$B,"G",Decisions_struct!$D:$D,"T",Decisions_struct!$E:$E,45)+SUMIFS(Decisions_struct!$G:$G,Decisions_struct!$A:$A,"XOT",Decisions_struct!$B:$B,"G",Decisions_struct!$D:$D,"T",Decisions_struct!$E:$E,45))+2*(SUMIFS(Decisions_struct!$G:$G,Decisions_struct!$A:$A,"X",Decisions_struct!$B:$B,"G",Decisions_struct!$D:$D,"L",Decisions_struct!$E:$E,45)+SUMIFS(Decisions_struct!$G:$G,Decisions_struct!$A:$A,"XOT",Decisions_struct!$B:$B,"G",Decisions_struct!$D:$D,"L",Decisions_struct!$E:$E,45))</f>
        <v>0</v>
      </c>
      <c r="H41">
        <f>3</f>
        <v>3</v>
      </c>
      <c r="I41">
        <f t="shared" si="4"/>
        <v>0</v>
      </c>
      <c r="J41">
        <f t="shared" si="4"/>
        <v>3</v>
      </c>
    </row>
    <row r="42" spans="1:10" x14ac:dyDescent="0.25">
      <c r="A42" t="s">
        <v>314</v>
      </c>
      <c r="B42" t="s">
        <v>27</v>
      </c>
      <c r="C42" t="s">
        <v>33</v>
      </c>
      <c r="E42">
        <v>46</v>
      </c>
      <c r="G42">
        <f>1*(SUMIFS(Decisions_struct!$G:$G,Decisions_struct!$A:$A,"X",Decisions_struct!$B:$B,"G",Decisions_struct!$D:$D,"P",Decisions_struct!$E:$E,46)+SUMIFS(Decisions_struct!$G:$G,Decisions_struct!$A:$A,"XOT",Decisions_struct!$B:$B,"G",Decisions_struct!$D:$D,"P",Decisions_struct!$E:$E,46))+1.5*(SUMIFS(Decisions_struct!$G:$G,Decisions_struct!$A:$A,"X",Decisions_struct!$B:$B,"G",Decisions_struct!$D:$D,"T",Decisions_struct!$E:$E,46)+SUMIFS(Decisions_struct!$G:$G,Decisions_struct!$A:$A,"XOT",Decisions_struct!$B:$B,"G",Decisions_struct!$D:$D,"T",Decisions_struct!$E:$E,46))+2*(SUMIFS(Decisions_struct!$G:$G,Decisions_struct!$A:$A,"X",Decisions_struct!$B:$B,"G",Decisions_struct!$D:$D,"L",Decisions_struct!$E:$E,46)+SUMIFS(Decisions_struct!$G:$G,Decisions_struct!$A:$A,"XOT",Decisions_struct!$B:$B,"G",Decisions_struct!$D:$D,"L",Decisions_struct!$E:$E,46))</f>
        <v>0</v>
      </c>
      <c r="H42">
        <f>3</f>
        <v>3</v>
      </c>
      <c r="I42">
        <f t="shared" si="4"/>
        <v>0</v>
      </c>
      <c r="J42">
        <f t="shared" si="4"/>
        <v>3</v>
      </c>
    </row>
    <row r="44" spans="1:10" x14ac:dyDescent="0.25">
      <c r="A44" t="s">
        <v>315</v>
      </c>
      <c r="G44">
        <f>SUM(X_range)+SUM(XOT_range)</f>
        <v>0</v>
      </c>
      <c r="H44">
        <f>455000</f>
        <v>455000</v>
      </c>
      <c r="I44" t="s">
        <v>316</v>
      </c>
    </row>
    <row r="47" spans="1:10" x14ac:dyDescent="0.25">
      <c r="A47" t="s">
        <v>317</v>
      </c>
    </row>
    <row r="48" spans="1:10" x14ac:dyDescent="0.25">
      <c r="A48" t="s">
        <v>310</v>
      </c>
      <c r="B48" t="s">
        <v>16</v>
      </c>
      <c r="C48" t="s">
        <v>248</v>
      </c>
      <c r="D48" t="s">
        <v>273</v>
      </c>
      <c r="E48" t="s">
        <v>249</v>
      </c>
    </row>
    <row r="49" spans="1:5" x14ac:dyDescent="0.25">
      <c r="A49" t="s">
        <v>21</v>
      </c>
      <c r="B49">
        <v>45</v>
      </c>
      <c r="C49">
        <f>SUMIFS(Decisions_struct!$G:$G,Decisions_struct!$A:$A,"S",Decisions_struct!$B:$B,"K",Decisions_struct!$E:$E,45)</f>
        <v>0</v>
      </c>
      <c r="D49">
        <f>SUMIFS(Decisions_struct!$G:$G,Decisions_struct!$A:$A,"Y",Decisions_struct!$B:$B,"K",Decisions_struct!$E:$E,45)</f>
        <v>0</v>
      </c>
      <c r="E49">
        <f>SUMIFS(Decisions_struct!$G:$G,Decisions_struct!$A:$A,"E",Decisions_struct!$B:$B,"K",Decisions_struct!$E:$E,45)</f>
        <v>0</v>
      </c>
    </row>
    <row r="50" spans="1:5" x14ac:dyDescent="0.25">
      <c r="A50" t="s">
        <v>21</v>
      </c>
      <c r="B50">
        <v>46</v>
      </c>
      <c r="C50">
        <f>SUMIFS(Decisions_struct!$G:$G,Decisions_struct!$A:$A,"S",Decisions_struct!$B:$B,"K",Decisions_struct!$E:$E,46)</f>
        <v>0</v>
      </c>
      <c r="D50">
        <f>SUMIFS(Decisions_struct!$G:$G,Decisions_struct!$A:$A,"Y",Decisions_struct!$B:$B,"K",Decisions_struct!$E:$E,46)</f>
        <v>0</v>
      </c>
      <c r="E50">
        <f>SUMIFS(Decisions_struct!$G:$G,Decisions_struct!$A:$A,"E",Decisions_struct!$B:$B,"K",Decisions_struct!$E:$E,46)</f>
        <v>0</v>
      </c>
    </row>
    <row r="51" spans="1:5" x14ac:dyDescent="0.25">
      <c r="A51" t="s">
        <v>26</v>
      </c>
      <c r="B51">
        <v>45</v>
      </c>
      <c r="C51">
        <f>SUMIFS(Decisions_struct!$G:$G,Decisions_struct!$A:$A,"S",Decisions_struct!$B:$B,"C",Decisions_struct!$E:$E,45)</f>
        <v>0</v>
      </c>
      <c r="D51">
        <f>SUMIFS(Decisions_struct!$G:$G,Decisions_struct!$A:$A,"Y",Decisions_struct!$B:$B,"C",Decisions_struct!$E:$E,45)</f>
        <v>0</v>
      </c>
      <c r="E51">
        <f>SUMIFS(Decisions_struct!$G:$G,Decisions_struct!$A:$A,"E",Decisions_struct!$B:$B,"C",Decisions_struct!$E:$E,45)</f>
        <v>0</v>
      </c>
    </row>
    <row r="52" spans="1:5" x14ac:dyDescent="0.25">
      <c r="A52" t="s">
        <v>26</v>
      </c>
      <c r="B52">
        <v>46</v>
      </c>
      <c r="C52">
        <f>SUMIFS(Decisions_struct!$G:$G,Decisions_struct!$A:$A,"S",Decisions_struct!$B:$B,"C",Decisions_struct!$E:$E,46)</f>
        <v>0</v>
      </c>
      <c r="D52">
        <f>SUMIFS(Decisions_struct!$G:$G,Decisions_struct!$A:$A,"Y",Decisions_struct!$B:$B,"C",Decisions_struct!$E:$E,46)</f>
        <v>0</v>
      </c>
      <c r="E52">
        <f>SUMIFS(Decisions_struct!$G:$G,Decisions_struct!$A:$A,"E",Decisions_struct!$B:$B,"C",Decisions_struct!$E:$E,46)</f>
        <v>0</v>
      </c>
    </row>
    <row r="53" spans="1:5" x14ac:dyDescent="0.25">
      <c r="A53" t="s">
        <v>27</v>
      </c>
      <c r="B53">
        <v>45</v>
      </c>
      <c r="C53">
        <f>SUMIFS(Decisions_struct!$G:$G,Decisions_struct!$A:$A,"S",Decisions_struct!$B:$B,"G",Decisions_struct!$E:$E,45)</f>
        <v>0</v>
      </c>
      <c r="D53">
        <f>SUMIFS(Decisions_struct!$G:$G,Decisions_struct!$A:$A,"Y",Decisions_struct!$B:$B,"G",Decisions_struct!$E:$E,45)</f>
        <v>0</v>
      </c>
      <c r="E53">
        <f>SUMIFS(Decisions_struct!$G:$G,Decisions_struct!$A:$A,"E",Decisions_struct!$B:$B,"G",Decisions_struct!$E:$E,45)</f>
        <v>0</v>
      </c>
    </row>
    <row r="54" spans="1:5" x14ac:dyDescent="0.25">
      <c r="A54" t="s">
        <v>27</v>
      </c>
      <c r="B54">
        <v>46</v>
      </c>
      <c r="C54">
        <f>SUMIFS(Decisions_struct!$G:$G,Decisions_struct!$A:$A,"S",Decisions_struct!$B:$B,"G",Decisions_struct!$E:$E,46)</f>
        <v>0</v>
      </c>
      <c r="D54">
        <f>SUMIFS(Decisions_struct!$G:$G,Decisions_struct!$A:$A,"Y",Decisions_struct!$B:$B,"G",Decisions_struct!$E:$E,46)</f>
        <v>0</v>
      </c>
      <c r="E54">
        <f>SUMIFS(Decisions_struct!$G:$G,Decisions_struct!$A:$A,"E",Decisions_struct!$B:$B,"G",Decisions_struct!$E:$E,46)</f>
        <v>0</v>
      </c>
    </row>
    <row r="56" spans="1:5" x14ac:dyDescent="0.25">
      <c r="A56" t="s">
        <v>318</v>
      </c>
    </row>
    <row r="57" spans="1:5" x14ac:dyDescent="0.25">
      <c r="A57" t="s">
        <v>310</v>
      </c>
      <c r="B57" t="s">
        <v>253</v>
      </c>
      <c r="C57" t="s">
        <v>319</v>
      </c>
      <c r="D57" t="s">
        <v>320</v>
      </c>
      <c r="E57" t="s">
        <v>321</v>
      </c>
    </row>
    <row r="58" spans="1:5" x14ac:dyDescent="0.25">
      <c r="A58" t="s">
        <v>21</v>
      </c>
      <c r="B58" t="s">
        <v>44</v>
      </c>
      <c r="C58">
        <f>SUMIFS(Decisions_struct!$G:$G,Decisions_struct!$A:$A,"XOT",Decisions_struct!$B:$B,"K",Decisions_struct!$D:$D,"P")</f>
        <v>0</v>
      </c>
      <c r="D58">
        <f>INDEX(Production_Costs!$B$3:$D$5,MATCH("Kaohsiung (TW)",Production_Costs!$A$3:$A$5,0),MATCH("P",Production_Costs!$B$2:$D$2,0))</f>
        <v>390</v>
      </c>
      <c r="E58">
        <f t="shared" ref="E58:E66" si="5">C58*D58</f>
        <v>0</v>
      </c>
    </row>
    <row r="59" spans="1:5" x14ac:dyDescent="0.25">
      <c r="A59" t="s">
        <v>21</v>
      </c>
      <c r="B59" t="s">
        <v>45</v>
      </c>
      <c r="C59">
        <f>SUMIFS(Decisions_struct!$G:$G,Decisions_struct!$A:$A,"XOT",Decisions_struct!$B:$B,"K",Decisions_struct!$D:$D,"T")</f>
        <v>0</v>
      </c>
      <c r="D59">
        <f>INDEX(Production_Costs!$B$3:$D$5,MATCH("Kaohsiung (TW)",Production_Costs!$A$3:$A$5,0),MATCH("T",Production_Costs!$B$2:$D$2,0))</f>
        <v>585</v>
      </c>
      <c r="E59">
        <f t="shared" si="5"/>
        <v>0</v>
      </c>
    </row>
    <row r="60" spans="1:5" x14ac:dyDescent="0.25">
      <c r="A60" t="s">
        <v>21</v>
      </c>
      <c r="B60" t="s">
        <v>46</v>
      </c>
      <c r="C60">
        <f>SUMIFS(Decisions_struct!$G:$G,Decisions_struct!$A:$A,"XOT",Decisions_struct!$B:$B,"K",Decisions_struct!$D:$D,"L")</f>
        <v>0</v>
      </c>
      <c r="D60">
        <f>INDEX(Production_Costs!$B$3:$D$5,MATCH("Kaohsiung (TW)",Production_Costs!$A$3:$A$5,0),MATCH("L",Production_Costs!$B$2:$D$2,0))</f>
        <v>750</v>
      </c>
      <c r="E60">
        <f t="shared" si="5"/>
        <v>0</v>
      </c>
    </row>
    <row r="61" spans="1:5" x14ac:dyDescent="0.25">
      <c r="A61" t="s">
        <v>26</v>
      </c>
      <c r="B61" t="s">
        <v>44</v>
      </c>
      <c r="C61">
        <f>SUMIFS(Decisions_struct!$G:$G,Decisions_struct!$A:$A,"XOT",Decisions_struct!$B:$B,"C",Decisions_struct!$D:$D,"P")</f>
        <v>0</v>
      </c>
      <c r="D61">
        <f>INDEX(Production_Costs!$B$3:$D$5,MATCH("Chennai (IN)",Production_Costs!$A$3:$A$5,0),MATCH("P",Production_Costs!$B$2:$D$2,0))</f>
        <v>427</v>
      </c>
      <c r="E61">
        <f t="shared" si="5"/>
        <v>0</v>
      </c>
    </row>
    <row r="62" spans="1:5" x14ac:dyDescent="0.25">
      <c r="A62" t="s">
        <v>26</v>
      </c>
      <c r="B62" t="s">
        <v>45</v>
      </c>
      <c r="C62">
        <f>SUMIFS(Decisions_struct!$G:$G,Decisions_struct!$A:$A,"XOT",Decisions_struct!$B:$B,"C",Decisions_struct!$D:$D,"T")</f>
        <v>0</v>
      </c>
      <c r="D62">
        <f>INDEX(Production_Costs!$B$3:$D$5,MATCH("Chennai (IN)",Production_Costs!$A$3:$A$5,0),MATCH("T",Production_Costs!$B$2:$D$2,0))</f>
        <v>640</v>
      </c>
      <c r="E62">
        <f t="shared" si="5"/>
        <v>0</v>
      </c>
    </row>
    <row r="63" spans="1:5" x14ac:dyDescent="0.25">
      <c r="A63" t="s">
        <v>26</v>
      </c>
      <c r="B63" t="s">
        <v>46</v>
      </c>
      <c r="C63">
        <f>SUMIFS(Decisions_struct!$G:$G,Decisions_struct!$A:$A,"XOT",Decisions_struct!$B:$B,"C",Decisions_struct!$D:$D,"L")</f>
        <v>0</v>
      </c>
      <c r="D63">
        <f>INDEX(Production_Costs!$B$3:$D$5,MATCH("Chennai (IN)",Production_Costs!$A$3:$A$5,0),MATCH("L",Production_Costs!$B$2:$D$2,0))</f>
        <v>790</v>
      </c>
      <c r="E63">
        <f t="shared" si="5"/>
        <v>0</v>
      </c>
    </row>
    <row r="64" spans="1:5" x14ac:dyDescent="0.25">
      <c r="A64" t="s">
        <v>27</v>
      </c>
      <c r="B64">
        <f>E67</f>
        <v>0</v>
      </c>
      <c r="C64">
        <f>SUMIFS(Decisions_struct!$G:$G,Decisions_struct!$A:$A,"XOT",Decisions_struct!$B:$B,"G",Decisions_struct!$D:$D,"P")</f>
        <v>0</v>
      </c>
      <c r="D64">
        <f>INDEX(Production_Costs!$B$3:$D$5,MATCH("Guadalajara (MX)",Production_Costs!$A$3:$A$5,0),MATCH("P",Production_Costs!$B$2:$D$2,0))</f>
        <v>466</v>
      </c>
      <c r="E64">
        <f t="shared" si="5"/>
        <v>0</v>
      </c>
    </row>
    <row r="65" spans="1:5" x14ac:dyDescent="0.25">
      <c r="A65" t="s">
        <v>27</v>
      </c>
      <c r="B65" t="s">
        <v>45</v>
      </c>
      <c r="C65">
        <f>SUMIFS(Decisions_struct!$G:$G,Decisions_struct!$A:$A,"XOT",Decisions_struct!$B:$B,"G",Decisions_struct!$D:$D,"T")</f>
        <v>0</v>
      </c>
      <c r="D65">
        <f>INDEX(Production_Costs!$B$3:$D$5,MATCH("Guadalajara (MX)",Production_Costs!$A$3:$A$5,0),MATCH("T",Production_Costs!$B$2:$D$2,0))</f>
        <v>699</v>
      </c>
      <c r="E65">
        <f t="shared" si="5"/>
        <v>0</v>
      </c>
    </row>
    <row r="66" spans="1:5" x14ac:dyDescent="0.25">
      <c r="A66" t="s">
        <v>27</v>
      </c>
      <c r="B66" t="s">
        <v>46</v>
      </c>
      <c r="C66">
        <f>SUMIFS(Decisions_struct!$G:$G,Decisions_struct!$A:$A,"XOT",Decisions_struct!$B:$B,"G",Decisions_struct!$D:$D,"L")</f>
        <v>0</v>
      </c>
      <c r="D66">
        <f>INDEX(Production_Costs!$B$3:$D$5,MATCH("Guadalajara (MX)",Production_Costs!$A$3:$A$5,0),MATCH("L",Production_Costs!$B$2:$D$2,0))</f>
        <v>814</v>
      </c>
      <c r="E66">
        <f t="shared" si="5"/>
        <v>0</v>
      </c>
    </row>
    <row r="67" spans="1:5" x14ac:dyDescent="0.25">
      <c r="D67" t="s">
        <v>322</v>
      </c>
      <c r="E67">
        <f>0.5*SUM(E58:E66)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84"/>
  <sheetViews>
    <sheetView workbookViewId="0">
      <selection activeCell="I13" sqref="I13"/>
    </sheetView>
  </sheetViews>
  <sheetFormatPr defaultRowHeight="15" x14ac:dyDescent="0.25"/>
  <sheetData>
    <row r="1" spans="1:6" x14ac:dyDescent="0.25">
      <c r="A1" t="s">
        <v>323</v>
      </c>
    </row>
    <row r="2" spans="1:6" x14ac:dyDescent="0.25">
      <c r="A2" t="s">
        <v>324</v>
      </c>
      <c r="B2">
        <f>Objective!E3</f>
        <v>0</v>
      </c>
      <c r="E2" t="s">
        <v>325</v>
      </c>
      <c r="F2">
        <f>ROWS(X_range)+ROWS(XOT_range)+ROWS(S_range)+ROWS(Y_range)+ROWS(YPT_range)+ROWS(E_range)</f>
        <v>270</v>
      </c>
    </row>
    <row r="3" spans="1:6" x14ac:dyDescent="0.25">
      <c r="A3" t="s">
        <v>280</v>
      </c>
      <c r="B3" t="s">
        <v>15</v>
      </c>
      <c r="C3" t="s">
        <v>281</v>
      </c>
      <c r="D3" t="s">
        <v>253</v>
      </c>
      <c r="E3" t="s">
        <v>16</v>
      </c>
      <c r="F3" t="s">
        <v>283</v>
      </c>
    </row>
    <row r="4" spans="1:6" x14ac:dyDescent="0.25">
      <c r="A4" t="s">
        <v>87</v>
      </c>
    </row>
    <row r="5" spans="1:6" x14ac:dyDescent="0.25">
      <c r="A5" t="s">
        <v>285</v>
      </c>
      <c r="B5" t="s">
        <v>21</v>
      </c>
      <c r="C5" t="s">
        <v>31</v>
      </c>
      <c r="E5">
        <v>45</v>
      </c>
      <c r="F5">
        <v>0</v>
      </c>
    </row>
    <row r="6" spans="1:6" x14ac:dyDescent="0.25">
      <c r="A6" t="s">
        <v>285</v>
      </c>
      <c r="B6" t="s">
        <v>21</v>
      </c>
      <c r="C6" t="s">
        <v>31</v>
      </c>
      <c r="E6">
        <v>46</v>
      </c>
      <c r="F6">
        <v>0</v>
      </c>
    </row>
    <row r="7" spans="1:6" x14ac:dyDescent="0.25">
      <c r="A7" t="s">
        <v>285</v>
      </c>
      <c r="B7" t="s">
        <v>26</v>
      </c>
      <c r="C7" t="s">
        <v>32</v>
      </c>
      <c r="E7">
        <v>45</v>
      </c>
      <c r="F7">
        <v>0</v>
      </c>
    </row>
    <row r="8" spans="1:6" x14ac:dyDescent="0.25">
      <c r="A8" t="s">
        <v>285</v>
      </c>
      <c r="B8" t="s">
        <v>26</v>
      </c>
      <c r="C8" t="s">
        <v>32</v>
      </c>
      <c r="E8">
        <v>46</v>
      </c>
      <c r="F8">
        <v>0</v>
      </c>
    </row>
    <row r="9" spans="1:6" x14ac:dyDescent="0.25">
      <c r="A9" t="s">
        <v>285</v>
      </c>
      <c r="B9" t="s">
        <v>27</v>
      </c>
      <c r="C9" t="s">
        <v>33</v>
      </c>
      <c r="E9">
        <v>45</v>
      </c>
      <c r="F9">
        <v>0</v>
      </c>
    </row>
    <row r="10" spans="1:6" x14ac:dyDescent="0.25">
      <c r="A10" t="s">
        <v>285</v>
      </c>
      <c r="B10" t="s">
        <v>27</v>
      </c>
      <c r="C10" t="s">
        <v>33</v>
      </c>
      <c r="E10">
        <v>46</v>
      </c>
      <c r="F10">
        <v>0</v>
      </c>
    </row>
    <row r="12" spans="1:6" x14ac:dyDescent="0.25">
      <c r="A12" t="s">
        <v>81</v>
      </c>
    </row>
    <row r="13" spans="1:6" x14ac:dyDescent="0.25">
      <c r="A13" t="s">
        <v>288</v>
      </c>
      <c r="B13" t="s">
        <v>21</v>
      </c>
      <c r="C13" t="s">
        <v>31</v>
      </c>
      <c r="D13" t="s">
        <v>44</v>
      </c>
      <c r="E13">
        <v>45</v>
      </c>
      <c r="F13">
        <v>0</v>
      </c>
    </row>
    <row r="14" spans="1:6" x14ac:dyDescent="0.25">
      <c r="A14" t="s">
        <v>288</v>
      </c>
      <c r="B14" t="s">
        <v>21</v>
      </c>
      <c r="C14" t="s">
        <v>31</v>
      </c>
      <c r="D14" t="s">
        <v>44</v>
      </c>
      <c r="E14">
        <v>46</v>
      </c>
      <c r="F14">
        <v>0</v>
      </c>
    </row>
    <row r="15" spans="1:6" x14ac:dyDescent="0.25">
      <c r="A15" t="s">
        <v>288</v>
      </c>
      <c r="B15" t="s">
        <v>21</v>
      </c>
      <c r="C15" t="s">
        <v>31</v>
      </c>
      <c r="D15" t="s">
        <v>45</v>
      </c>
      <c r="E15">
        <v>45</v>
      </c>
      <c r="F15">
        <v>0</v>
      </c>
    </row>
    <row r="16" spans="1:6" x14ac:dyDescent="0.25">
      <c r="A16" t="s">
        <v>288</v>
      </c>
      <c r="B16" t="s">
        <v>21</v>
      </c>
      <c r="C16" t="s">
        <v>31</v>
      </c>
      <c r="D16" t="s">
        <v>45</v>
      </c>
      <c r="E16">
        <v>46</v>
      </c>
      <c r="F16">
        <v>0</v>
      </c>
    </row>
    <row r="17" spans="1:6" x14ac:dyDescent="0.25">
      <c r="A17" t="s">
        <v>288</v>
      </c>
      <c r="B17" t="s">
        <v>21</v>
      </c>
      <c r="C17" t="s">
        <v>31</v>
      </c>
      <c r="D17" t="s">
        <v>46</v>
      </c>
      <c r="E17">
        <v>45</v>
      </c>
      <c r="F17">
        <v>0</v>
      </c>
    </row>
    <row r="18" spans="1:6" x14ac:dyDescent="0.25">
      <c r="A18" t="s">
        <v>288</v>
      </c>
      <c r="B18" t="s">
        <v>21</v>
      </c>
      <c r="C18" t="s">
        <v>31</v>
      </c>
      <c r="D18" t="s">
        <v>46</v>
      </c>
      <c r="E18">
        <v>46</v>
      </c>
      <c r="F18">
        <v>0</v>
      </c>
    </row>
    <row r="19" spans="1:6" x14ac:dyDescent="0.25">
      <c r="A19" t="s">
        <v>288</v>
      </c>
      <c r="B19" t="s">
        <v>26</v>
      </c>
      <c r="C19" t="s">
        <v>32</v>
      </c>
      <c r="D19" t="s">
        <v>44</v>
      </c>
      <c r="E19">
        <v>45</v>
      </c>
      <c r="F19">
        <v>0</v>
      </c>
    </row>
    <row r="20" spans="1:6" x14ac:dyDescent="0.25">
      <c r="A20" t="s">
        <v>288</v>
      </c>
      <c r="B20" t="s">
        <v>26</v>
      </c>
      <c r="C20" t="s">
        <v>32</v>
      </c>
      <c r="D20" t="s">
        <v>44</v>
      </c>
      <c r="E20">
        <v>46</v>
      </c>
      <c r="F20">
        <v>0</v>
      </c>
    </row>
    <row r="21" spans="1:6" x14ac:dyDescent="0.25">
      <c r="A21" t="s">
        <v>288</v>
      </c>
      <c r="B21" t="s">
        <v>26</v>
      </c>
      <c r="C21" t="s">
        <v>32</v>
      </c>
      <c r="D21" t="s">
        <v>45</v>
      </c>
      <c r="E21">
        <v>45</v>
      </c>
      <c r="F21">
        <v>0</v>
      </c>
    </row>
    <row r="22" spans="1:6" x14ac:dyDescent="0.25">
      <c r="A22" t="s">
        <v>288</v>
      </c>
      <c r="B22" t="s">
        <v>26</v>
      </c>
      <c r="C22" t="s">
        <v>32</v>
      </c>
      <c r="D22" t="s">
        <v>45</v>
      </c>
      <c r="E22">
        <v>46</v>
      </c>
      <c r="F22">
        <v>0</v>
      </c>
    </row>
    <row r="23" spans="1:6" x14ac:dyDescent="0.25">
      <c r="A23" t="s">
        <v>288</v>
      </c>
      <c r="B23" t="s">
        <v>26</v>
      </c>
      <c r="C23" t="s">
        <v>32</v>
      </c>
      <c r="D23" t="s">
        <v>46</v>
      </c>
      <c r="E23">
        <v>45</v>
      </c>
      <c r="F23">
        <v>0</v>
      </c>
    </row>
    <row r="24" spans="1:6" x14ac:dyDescent="0.25">
      <c r="A24" t="s">
        <v>288</v>
      </c>
      <c r="B24" t="s">
        <v>26</v>
      </c>
      <c r="C24" t="s">
        <v>32</v>
      </c>
      <c r="D24" t="s">
        <v>46</v>
      </c>
      <c r="E24">
        <v>46</v>
      </c>
      <c r="F24">
        <v>0</v>
      </c>
    </row>
    <row r="25" spans="1:6" x14ac:dyDescent="0.25">
      <c r="A25" t="s">
        <v>288</v>
      </c>
      <c r="B25" t="s">
        <v>27</v>
      </c>
      <c r="C25" t="s">
        <v>33</v>
      </c>
      <c r="D25" t="s">
        <v>44</v>
      </c>
      <c r="E25">
        <v>45</v>
      </c>
      <c r="F25">
        <v>0</v>
      </c>
    </row>
    <row r="26" spans="1:6" x14ac:dyDescent="0.25">
      <c r="A26" t="s">
        <v>288</v>
      </c>
      <c r="B26" t="s">
        <v>27</v>
      </c>
      <c r="C26" t="s">
        <v>33</v>
      </c>
      <c r="D26" t="s">
        <v>44</v>
      </c>
      <c r="E26">
        <v>46</v>
      </c>
      <c r="F26">
        <v>0</v>
      </c>
    </row>
    <row r="27" spans="1:6" x14ac:dyDescent="0.25">
      <c r="A27" t="s">
        <v>288</v>
      </c>
      <c r="B27" t="s">
        <v>27</v>
      </c>
      <c r="C27" t="s">
        <v>33</v>
      </c>
      <c r="D27" t="s">
        <v>45</v>
      </c>
      <c r="E27">
        <v>45</v>
      </c>
      <c r="F27">
        <v>0</v>
      </c>
    </row>
    <row r="28" spans="1:6" x14ac:dyDescent="0.25">
      <c r="A28" t="s">
        <v>288</v>
      </c>
      <c r="B28" t="s">
        <v>27</v>
      </c>
      <c r="C28" t="s">
        <v>33</v>
      </c>
      <c r="D28" t="s">
        <v>45</v>
      </c>
      <c r="E28">
        <v>46</v>
      </c>
      <c r="F28">
        <v>0</v>
      </c>
    </row>
    <row r="29" spans="1:6" x14ac:dyDescent="0.25">
      <c r="A29" t="s">
        <v>288</v>
      </c>
      <c r="B29" t="s">
        <v>27</v>
      </c>
      <c r="C29" t="s">
        <v>33</v>
      </c>
      <c r="D29" t="s">
        <v>46</v>
      </c>
      <c r="E29">
        <v>45</v>
      </c>
      <c r="F29">
        <v>0</v>
      </c>
    </row>
    <row r="30" spans="1:6" x14ac:dyDescent="0.25">
      <c r="A30" t="s">
        <v>288</v>
      </c>
      <c r="B30" t="s">
        <v>27</v>
      </c>
      <c r="C30" t="s">
        <v>33</v>
      </c>
      <c r="D30" t="s">
        <v>46</v>
      </c>
      <c r="E30">
        <v>46</v>
      </c>
      <c r="F30">
        <v>0</v>
      </c>
    </row>
    <row r="31" spans="1:6" x14ac:dyDescent="0.25">
      <c r="A31" t="s">
        <v>288</v>
      </c>
      <c r="B31" t="s">
        <v>21</v>
      </c>
      <c r="C31" t="s">
        <v>31</v>
      </c>
      <c r="D31" t="s">
        <v>44</v>
      </c>
      <c r="E31">
        <v>45</v>
      </c>
      <c r="F31">
        <v>0</v>
      </c>
    </row>
    <row r="32" spans="1:6" x14ac:dyDescent="0.25">
      <c r="A32" t="s">
        <v>288</v>
      </c>
      <c r="B32" t="s">
        <v>21</v>
      </c>
      <c r="C32" t="s">
        <v>31</v>
      </c>
      <c r="D32" t="s">
        <v>44</v>
      </c>
      <c r="E32">
        <v>46</v>
      </c>
      <c r="F32">
        <v>0</v>
      </c>
    </row>
    <row r="33" spans="1:6" x14ac:dyDescent="0.25">
      <c r="A33" t="s">
        <v>288</v>
      </c>
      <c r="B33" t="s">
        <v>21</v>
      </c>
      <c r="C33" t="s">
        <v>31</v>
      </c>
      <c r="D33" t="s">
        <v>45</v>
      </c>
      <c r="E33">
        <v>45</v>
      </c>
      <c r="F33">
        <v>0</v>
      </c>
    </row>
    <row r="34" spans="1:6" x14ac:dyDescent="0.25">
      <c r="A34" t="s">
        <v>288</v>
      </c>
      <c r="B34" t="s">
        <v>21</v>
      </c>
      <c r="C34" t="s">
        <v>31</v>
      </c>
      <c r="D34" t="s">
        <v>45</v>
      </c>
      <c r="E34">
        <v>46</v>
      </c>
      <c r="F34">
        <v>0</v>
      </c>
    </row>
    <row r="35" spans="1:6" x14ac:dyDescent="0.25">
      <c r="A35" t="s">
        <v>288</v>
      </c>
      <c r="B35" t="s">
        <v>21</v>
      </c>
      <c r="C35" t="s">
        <v>31</v>
      </c>
      <c r="D35" t="s">
        <v>46</v>
      </c>
      <c r="E35">
        <v>45</v>
      </c>
      <c r="F35">
        <v>0</v>
      </c>
    </row>
    <row r="36" spans="1:6" x14ac:dyDescent="0.25">
      <c r="A36" t="s">
        <v>288</v>
      </c>
      <c r="B36" t="s">
        <v>21</v>
      </c>
      <c r="C36" t="s">
        <v>31</v>
      </c>
      <c r="D36" t="s">
        <v>46</v>
      </c>
      <c r="E36">
        <v>46</v>
      </c>
      <c r="F36">
        <v>0</v>
      </c>
    </row>
    <row r="37" spans="1:6" x14ac:dyDescent="0.25">
      <c r="A37" t="s">
        <v>288</v>
      </c>
      <c r="B37" t="s">
        <v>26</v>
      </c>
      <c r="C37" t="s">
        <v>32</v>
      </c>
      <c r="D37" t="s">
        <v>44</v>
      </c>
      <c r="E37">
        <v>45</v>
      </c>
      <c r="F37">
        <v>0</v>
      </c>
    </row>
    <row r="38" spans="1:6" x14ac:dyDescent="0.25">
      <c r="A38" t="s">
        <v>288</v>
      </c>
      <c r="B38" t="s">
        <v>26</v>
      </c>
      <c r="C38" t="s">
        <v>32</v>
      </c>
      <c r="D38" t="s">
        <v>44</v>
      </c>
      <c r="E38">
        <v>46</v>
      </c>
      <c r="F38">
        <v>0</v>
      </c>
    </row>
    <row r="39" spans="1:6" x14ac:dyDescent="0.25">
      <c r="A39" t="s">
        <v>288</v>
      </c>
      <c r="B39" t="s">
        <v>26</v>
      </c>
      <c r="C39" t="s">
        <v>32</v>
      </c>
      <c r="D39" t="s">
        <v>45</v>
      </c>
      <c r="E39">
        <v>45</v>
      </c>
      <c r="F39">
        <v>0</v>
      </c>
    </row>
    <row r="40" spans="1:6" x14ac:dyDescent="0.25">
      <c r="A40" t="s">
        <v>288</v>
      </c>
      <c r="B40" t="s">
        <v>26</v>
      </c>
      <c r="C40" t="s">
        <v>32</v>
      </c>
      <c r="D40" t="s">
        <v>45</v>
      </c>
      <c r="E40">
        <v>46</v>
      </c>
      <c r="F40">
        <v>0</v>
      </c>
    </row>
    <row r="41" spans="1:6" x14ac:dyDescent="0.25">
      <c r="A41" t="s">
        <v>288</v>
      </c>
      <c r="B41" t="s">
        <v>26</v>
      </c>
      <c r="C41" t="s">
        <v>32</v>
      </c>
      <c r="D41" t="s">
        <v>46</v>
      </c>
      <c r="E41">
        <v>45</v>
      </c>
      <c r="F41">
        <v>0</v>
      </c>
    </row>
    <row r="42" spans="1:6" x14ac:dyDescent="0.25">
      <c r="A42" t="s">
        <v>288</v>
      </c>
      <c r="B42" t="s">
        <v>26</v>
      </c>
      <c r="C42" t="s">
        <v>32</v>
      </c>
      <c r="D42" t="s">
        <v>46</v>
      </c>
      <c r="E42">
        <v>46</v>
      </c>
      <c r="F42">
        <v>0</v>
      </c>
    </row>
    <row r="43" spans="1:6" x14ac:dyDescent="0.25">
      <c r="A43" t="s">
        <v>288</v>
      </c>
      <c r="B43" t="s">
        <v>27</v>
      </c>
      <c r="C43" t="s">
        <v>33</v>
      </c>
      <c r="D43" t="s">
        <v>44</v>
      </c>
      <c r="E43">
        <v>45</v>
      </c>
      <c r="F43">
        <v>0</v>
      </c>
    </row>
    <row r="44" spans="1:6" x14ac:dyDescent="0.25">
      <c r="A44" t="s">
        <v>288</v>
      </c>
      <c r="B44" t="s">
        <v>27</v>
      </c>
      <c r="C44" t="s">
        <v>33</v>
      </c>
      <c r="D44" t="s">
        <v>44</v>
      </c>
      <c r="E44">
        <v>46</v>
      </c>
      <c r="F44">
        <v>0</v>
      </c>
    </row>
    <row r="45" spans="1:6" x14ac:dyDescent="0.25">
      <c r="A45" t="s">
        <v>288</v>
      </c>
      <c r="B45" t="s">
        <v>27</v>
      </c>
      <c r="C45" t="s">
        <v>33</v>
      </c>
      <c r="D45" t="s">
        <v>45</v>
      </c>
      <c r="E45">
        <v>45</v>
      </c>
      <c r="F45">
        <v>0</v>
      </c>
    </row>
    <row r="46" spans="1:6" x14ac:dyDescent="0.25">
      <c r="A46" t="s">
        <v>288</v>
      </c>
      <c r="B46" t="s">
        <v>27</v>
      </c>
      <c r="C46" t="s">
        <v>33</v>
      </c>
      <c r="D46" t="s">
        <v>45</v>
      </c>
      <c r="E46">
        <v>46</v>
      </c>
      <c r="F46">
        <v>0</v>
      </c>
    </row>
    <row r="47" spans="1:6" x14ac:dyDescent="0.25">
      <c r="A47" t="s">
        <v>288</v>
      </c>
      <c r="B47" t="s">
        <v>27</v>
      </c>
      <c r="C47" t="s">
        <v>33</v>
      </c>
      <c r="D47" t="s">
        <v>46</v>
      </c>
      <c r="E47">
        <v>45</v>
      </c>
      <c r="F47">
        <v>0</v>
      </c>
    </row>
    <row r="48" spans="1:6" x14ac:dyDescent="0.25">
      <c r="A48" t="s">
        <v>288</v>
      </c>
      <c r="B48" t="s">
        <v>27</v>
      </c>
      <c r="C48" t="s">
        <v>33</v>
      </c>
      <c r="D48" t="s">
        <v>46</v>
      </c>
      <c r="E48">
        <v>46</v>
      </c>
      <c r="F48">
        <v>0</v>
      </c>
    </row>
    <row r="49" spans="1:6" x14ac:dyDescent="0.25">
      <c r="A49" t="s">
        <v>288</v>
      </c>
      <c r="B49" t="s">
        <v>21</v>
      </c>
      <c r="C49" t="s">
        <v>31</v>
      </c>
      <c r="D49" t="s">
        <v>44</v>
      </c>
      <c r="E49">
        <v>45</v>
      </c>
      <c r="F49">
        <v>0</v>
      </c>
    </row>
    <row r="50" spans="1:6" x14ac:dyDescent="0.25">
      <c r="A50" t="s">
        <v>288</v>
      </c>
      <c r="B50" t="s">
        <v>21</v>
      </c>
      <c r="C50" t="s">
        <v>31</v>
      </c>
      <c r="D50" t="s">
        <v>44</v>
      </c>
      <c r="E50">
        <v>46</v>
      </c>
      <c r="F50">
        <v>0</v>
      </c>
    </row>
    <row r="51" spans="1:6" x14ac:dyDescent="0.25">
      <c r="A51" t="s">
        <v>288</v>
      </c>
      <c r="B51" t="s">
        <v>21</v>
      </c>
      <c r="C51" t="s">
        <v>31</v>
      </c>
      <c r="D51" t="s">
        <v>45</v>
      </c>
      <c r="E51">
        <v>45</v>
      </c>
      <c r="F51">
        <v>0</v>
      </c>
    </row>
    <row r="52" spans="1:6" x14ac:dyDescent="0.25">
      <c r="A52" t="s">
        <v>288</v>
      </c>
      <c r="B52" t="s">
        <v>21</v>
      </c>
      <c r="C52" t="s">
        <v>31</v>
      </c>
      <c r="D52" t="s">
        <v>45</v>
      </c>
      <c r="E52">
        <v>46</v>
      </c>
      <c r="F52">
        <v>0</v>
      </c>
    </row>
    <row r="53" spans="1:6" x14ac:dyDescent="0.25">
      <c r="A53" t="s">
        <v>288</v>
      </c>
      <c r="B53" t="s">
        <v>21</v>
      </c>
      <c r="C53" t="s">
        <v>31</v>
      </c>
      <c r="D53" t="s">
        <v>46</v>
      </c>
      <c r="E53">
        <v>45</v>
      </c>
      <c r="F53">
        <v>0</v>
      </c>
    </row>
    <row r="54" spans="1:6" x14ac:dyDescent="0.25">
      <c r="A54" t="s">
        <v>288</v>
      </c>
      <c r="B54" t="s">
        <v>21</v>
      </c>
      <c r="C54" t="s">
        <v>31</v>
      </c>
      <c r="D54" t="s">
        <v>46</v>
      </c>
      <c r="E54">
        <v>46</v>
      </c>
      <c r="F54">
        <v>0</v>
      </c>
    </row>
    <row r="55" spans="1:6" x14ac:dyDescent="0.25">
      <c r="A55" t="s">
        <v>288</v>
      </c>
      <c r="B55" t="s">
        <v>26</v>
      </c>
      <c r="C55" t="s">
        <v>32</v>
      </c>
      <c r="D55" t="s">
        <v>44</v>
      </c>
      <c r="E55">
        <v>45</v>
      </c>
      <c r="F55">
        <v>0</v>
      </c>
    </row>
    <row r="56" spans="1:6" x14ac:dyDescent="0.25">
      <c r="A56" t="s">
        <v>288</v>
      </c>
      <c r="B56" t="s">
        <v>26</v>
      </c>
      <c r="C56" t="s">
        <v>32</v>
      </c>
      <c r="D56" t="s">
        <v>44</v>
      </c>
      <c r="E56">
        <v>46</v>
      </c>
      <c r="F56">
        <v>0</v>
      </c>
    </row>
    <row r="57" spans="1:6" x14ac:dyDescent="0.25">
      <c r="A57" t="s">
        <v>288</v>
      </c>
      <c r="B57" t="s">
        <v>26</v>
      </c>
      <c r="C57" t="s">
        <v>32</v>
      </c>
      <c r="D57" t="s">
        <v>45</v>
      </c>
      <c r="E57">
        <v>45</v>
      </c>
      <c r="F57">
        <v>0</v>
      </c>
    </row>
    <row r="58" spans="1:6" x14ac:dyDescent="0.25">
      <c r="A58" t="s">
        <v>288</v>
      </c>
      <c r="B58" t="s">
        <v>26</v>
      </c>
      <c r="C58" t="s">
        <v>32</v>
      </c>
      <c r="D58" t="s">
        <v>45</v>
      </c>
      <c r="E58">
        <v>46</v>
      </c>
      <c r="F58">
        <v>0</v>
      </c>
    </row>
    <row r="59" spans="1:6" x14ac:dyDescent="0.25">
      <c r="A59" t="s">
        <v>288</v>
      </c>
      <c r="B59" t="s">
        <v>26</v>
      </c>
      <c r="C59" t="s">
        <v>32</v>
      </c>
      <c r="D59" t="s">
        <v>46</v>
      </c>
      <c r="E59">
        <v>45</v>
      </c>
      <c r="F59">
        <v>0</v>
      </c>
    </row>
    <row r="60" spans="1:6" x14ac:dyDescent="0.25">
      <c r="A60" t="s">
        <v>288</v>
      </c>
      <c r="B60" t="s">
        <v>26</v>
      </c>
      <c r="C60" t="s">
        <v>32</v>
      </c>
      <c r="D60" t="s">
        <v>46</v>
      </c>
      <c r="E60">
        <v>46</v>
      </c>
      <c r="F60">
        <v>0</v>
      </c>
    </row>
    <row r="61" spans="1:6" x14ac:dyDescent="0.25">
      <c r="A61" t="s">
        <v>288</v>
      </c>
      <c r="B61" t="s">
        <v>27</v>
      </c>
      <c r="C61" t="s">
        <v>33</v>
      </c>
      <c r="D61" t="s">
        <v>44</v>
      </c>
      <c r="E61">
        <v>45</v>
      </c>
      <c r="F61">
        <v>0</v>
      </c>
    </row>
    <row r="62" spans="1:6" x14ac:dyDescent="0.25">
      <c r="A62" t="s">
        <v>288</v>
      </c>
      <c r="B62" t="s">
        <v>27</v>
      </c>
      <c r="C62" t="s">
        <v>33</v>
      </c>
      <c r="D62" t="s">
        <v>44</v>
      </c>
      <c r="E62">
        <v>46</v>
      </c>
      <c r="F62">
        <v>0</v>
      </c>
    </row>
    <row r="63" spans="1:6" x14ac:dyDescent="0.25">
      <c r="A63" t="s">
        <v>288</v>
      </c>
      <c r="B63" t="s">
        <v>27</v>
      </c>
      <c r="C63" t="s">
        <v>33</v>
      </c>
      <c r="D63" t="s">
        <v>45</v>
      </c>
      <c r="E63">
        <v>45</v>
      </c>
      <c r="F63">
        <v>0</v>
      </c>
    </row>
    <row r="64" spans="1:6" x14ac:dyDescent="0.25">
      <c r="A64" t="s">
        <v>288</v>
      </c>
      <c r="B64" t="s">
        <v>27</v>
      </c>
      <c r="C64" t="s">
        <v>33</v>
      </c>
      <c r="D64" t="s">
        <v>45</v>
      </c>
      <c r="E64">
        <v>46</v>
      </c>
      <c r="F64">
        <v>0</v>
      </c>
    </row>
    <row r="65" spans="1:6" x14ac:dyDescent="0.25">
      <c r="A65" t="s">
        <v>288</v>
      </c>
      <c r="B65" t="s">
        <v>27</v>
      </c>
      <c r="C65" t="s">
        <v>33</v>
      </c>
      <c r="D65" t="s">
        <v>46</v>
      </c>
      <c r="E65">
        <v>45</v>
      </c>
      <c r="F65">
        <v>0</v>
      </c>
    </row>
    <row r="66" spans="1:6" x14ac:dyDescent="0.25">
      <c r="A66" t="s">
        <v>288</v>
      </c>
      <c r="B66" t="s">
        <v>27</v>
      </c>
      <c r="C66" t="s">
        <v>33</v>
      </c>
      <c r="D66" t="s">
        <v>46</v>
      </c>
      <c r="E66">
        <v>46</v>
      </c>
      <c r="F66">
        <v>0</v>
      </c>
    </row>
    <row r="68" spans="1:6" x14ac:dyDescent="0.25">
      <c r="A68" t="s">
        <v>83</v>
      </c>
    </row>
    <row r="69" spans="1:6" x14ac:dyDescent="0.25">
      <c r="A69" t="s">
        <v>289</v>
      </c>
      <c r="B69" t="s">
        <v>21</v>
      </c>
      <c r="C69" t="s">
        <v>31</v>
      </c>
      <c r="D69" t="s">
        <v>44</v>
      </c>
      <c r="E69">
        <v>45</v>
      </c>
      <c r="F69">
        <v>0</v>
      </c>
    </row>
    <row r="70" spans="1:6" x14ac:dyDescent="0.25">
      <c r="A70" t="s">
        <v>289</v>
      </c>
      <c r="B70" t="s">
        <v>21</v>
      </c>
      <c r="C70" t="s">
        <v>31</v>
      </c>
      <c r="D70" t="s">
        <v>44</v>
      </c>
      <c r="E70">
        <v>46</v>
      </c>
      <c r="F70">
        <v>0</v>
      </c>
    </row>
    <row r="71" spans="1:6" x14ac:dyDescent="0.25">
      <c r="A71" t="s">
        <v>289</v>
      </c>
      <c r="B71" t="s">
        <v>21</v>
      </c>
      <c r="C71" t="s">
        <v>31</v>
      </c>
      <c r="D71" t="s">
        <v>45</v>
      </c>
      <c r="E71">
        <v>45</v>
      </c>
      <c r="F71">
        <v>0</v>
      </c>
    </row>
    <row r="72" spans="1:6" x14ac:dyDescent="0.25">
      <c r="A72" t="s">
        <v>289</v>
      </c>
      <c r="B72" t="s">
        <v>21</v>
      </c>
      <c r="C72" t="s">
        <v>31</v>
      </c>
      <c r="D72" t="s">
        <v>45</v>
      </c>
      <c r="E72">
        <v>46</v>
      </c>
      <c r="F72">
        <v>0</v>
      </c>
    </row>
    <row r="73" spans="1:6" x14ac:dyDescent="0.25">
      <c r="A73" t="s">
        <v>289</v>
      </c>
      <c r="B73" t="s">
        <v>21</v>
      </c>
      <c r="C73" t="s">
        <v>31</v>
      </c>
      <c r="D73" t="s">
        <v>46</v>
      </c>
      <c r="E73">
        <v>45</v>
      </c>
      <c r="F73">
        <v>0</v>
      </c>
    </row>
    <row r="74" spans="1:6" x14ac:dyDescent="0.25">
      <c r="A74" t="s">
        <v>289</v>
      </c>
      <c r="B74" t="s">
        <v>21</v>
      </c>
      <c r="C74" t="s">
        <v>31</v>
      </c>
      <c r="D74" t="s">
        <v>46</v>
      </c>
      <c r="E74">
        <v>46</v>
      </c>
      <c r="F74">
        <v>0</v>
      </c>
    </row>
    <row r="75" spans="1:6" x14ac:dyDescent="0.25">
      <c r="A75" t="s">
        <v>289</v>
      </c>
      <c r="B75" t="s">
        <v>26</v>
      </c>
      <c r="C75" t="s">
        <v>32</v>
      </c>
      <c r="D75" t="s">
        <v>44</v>
      </c>
      <c r="E75">
        <v>45</v>
      </c>
      <c r="F75">
        <v>0</v>
      </c>
    </row>
    <row r="76" spans="1:6" x14ac:dyDescent="0.25">
      <c r="A76" t="s">
        <v>289</v>
      </c>
      <c r="B76" t="s">
        <v>26</v>
      </c>
      <c r="C76" t="s">
        <v>32</v>
      </c>
      <c r="D76" t="s">
        <v>44</v>
      </c>
      <c r="E76">
        <v>46</v>
      </c>
      <c r="F76">
        <v>0</v>
      </c>
    </row>
    <row r="77" spans="1:6" x14ac:dyDescent="0.25">
      <c r="A77" t="s">
        <v>289</v>
      </c>
      <c r="B77" t="s">
        <v>26</v>
      </c>
      <c r="C77" t="s">
        <v>32</v>
      </c>
      <c r="D77" t="s">
        <v>45</v>
      </c>
      <c r="E77">
        <v>45</v>
      </c>
      <c r="F77">
        <v>0</v>
      </c>
    </row>
    <row r="78" spans="1:6" x14ac:dyDescent="0.25">
      <c r="A78" t="s">
        <v>289</v>
      </c>
      <c r="B78" t="s">
        <v>26</v>
      </c>
      <c r="C78" t="s">
        <v>32</v>
      </c>
      <c r="D78" t="s">
        <v>45</v>
      </c>
      <c r="E78">
        <v>46</v>
      </c>
      <c r="F78">
        <v>0</v>
      </c>
    </row>
    <row r="79" spans="1:6" x14ac:dyDescent="0.25">
      <c r="A79" t="s">
        <v>289</v>
      </c>
      <c r="B79" t="s">
        <v>26</v>
      </c>
      <c r="C79" t="s">
        <v>32</v>
      </c>
      <c r="D79" t="s">
        <v>46</v>
      </c>
      <c r="E79">
        <v>45</v>
      </c>
      <c r="F79">
        <v>0</v>
      </c>
    </row>
    <row r="80" spans="1:6" x14ac:dyDescent="0.25">
      <c r="A80" t="s">
        <v>289</v>
      </c>
      <c r="B80" t="s">
        <v>26</v>
      </c>
      <c r="C80" t="s">
        <v>32</v>
      </c>
      <c r="D80" t="s">
        <v>46</v>
      </c>
      <c r="E80">
        <v>46</v>
      </c>
      <c r="F80">
        <v>0</v>
      </c>
    </row>
    <row r="81" spans="1:6" x14ac:dyDescent="0.25">
      <c r="A81" t="s">
        <v>289</v>
      </c>
      <c r="B81" t="s">
        <v>27</v>
      </c>
      <c r="C81" t="s">
        <v>33</v>
      </c>
      <c r="D81" t="s">
        <v>44</v>
      </c>
      <c r="E81">
        <v>45</v>
      </c>
      <c r="F81">
        <v>0</v>
      </c>
    </row>
    <row r="82" spans="1:6" x14ac:dyDescent="0.25">
      <c r="A82" t="s">
        <v>289</v>
      </c>
      <c r="B82" t="s">
        <v>27</v>
      </c>
      <c r="C82" t="s">
        <v>33</v>
      </c>
      <c r="D82" t="s">
        <v>44</v>
      </c>
      <c r="E82">
        <v>46</v>
      </c>
      <c r="F82">
        <v>0</v>
      </c>
    </row>
    <row r="83" spans="1:6" x14ac:dyDescent="0.25">
      <c r="A83" t="s">
        <v>289</v>
      </c>
      <c r="B83" t="s">
        <v>27</v>
      </c>
      <c r="C83" t="s">
        <v>33</v>
      </c>
      <c r="D83" t="s">
        <v>45</v>
      </c>
      <c r="E83">
        <v>45</v>
      </c>
      <c r="F83">
        <v>0</v>
      </c>
    </row>
    <row r="84" spans="1:6" x14ac:dyDescent="0.25">
      <c r="A84" t="s">
        <v>289</v>
      </c>
      <c r="B84" t="s">
        <v>27</v>
      </c>
      <c r="C84" t="s">
        <v>33</v>
      </c>
      <c r="D84" t="s">
        <v>45</v>
      </c>
      <c r="E84">
        <v>46</v>
      </c>
      <c r="F84">
        <v>0</v>
      </c>
    </row>
    <row r="85" spans="1:6" x14ac:dyDescent="0.25">
      <c r="A85" t="s">
        <v>289</v>
      </c>
      <c r="B85" t="s">
        <v>27</v>
      </c>
      <c r="C85" t="s">
        <v>33</v>
      </c>
      <c r="D85" t="s">
        <v>46</v>
      </c>
      <c r="E85">
        <v>45</v>
      </c>
      <c r="F85">
        <v>0</v>
      </c>
    </row>
    <row r="86" spans="1:6" x14ac:dyDescent="0.25">
      <c r="A86" t="s">
        <v>289</v>
      </c>
      <c r="B86" t="s">
        <v>27</v>
      </c>
      <c r="C86" t="s">
        <v>33</v>
      </c>
      <c r="D86" t="s">
        <v>46</v>
      </c>
      <c r="E86">
        <v>46</v>
      </c>
      <c r="F86">
        <v>0</v>
      </c>
    </row>
    <row r="87" spans="1:6" x14ac:dyDescent="0.25">
      <c r="A87" t="s">
        <v>289</v>
      </c>
      <c r="B87" t="s">
        <v>21</v>
      </c>
      <c r="C87" t="s">
        <v>31</v>
      </c>
      <c r="D87" t="s">
        <v>44</v>
      </c>
      <c r="E87">
        <v>45</v>
      </c>
      <c r="F87">
        <v>0</v>
      </c>
    </row>
    <row r="88" spans="1:6" x14ac:dyDescent="0.25">
      <c r="A88" t="s">
        <v>289</v>
      </c>
      <c r="B88" t="s">
        <v>21</v>
      </c>
      <c r="C88" t="s">
        <v>31</v>
      </c>
      <c r="D88" t="s">
        <v>44</v>
      </c>
      <c r="E88">
        <v>46</v>
      </c>
      <c r="F88">
        <v>0</v>
      </c>
    </row>
    <row r="89" spans="1:6" x14ac:dyDescent="0.25">
      <c r="A89" t="s">
        <v>289</v>
      </c>
      <c r="B89" t="s">
        <v>21</v>
      </c>
      <c r="C89" t="s">
        <v>31</v>
      </c>
      <c r="D89" t="s">
        <v>45</v>
      </c>
      <c r="E89">
        <v>45</v>
      </c>
      <c r="F89">
        <v>0</v>
      </c>
    </row>
    <row r="90" spans="1:6" x14ac:dyDescent="0.25">
      <c r="A90" t="s">
        <v>289</v>
      </c>
      <c r="B90" t="s">
        <v>21</v>
      </c>
      <c r="C90" t="s">
        <v>31</v>
      </c>
      <c r="D90" t="s">
        <v>45</v>
      </c>
      <c r="E90">
        <v>46</v>
      </c>
      <c r="F90">
        <v>0</v>
      </c>
    </row>
    <row r="91" spans="1:6" x14ac:dyDescent="0.25">
      <c r="A91" t="s">
        <v>289</v>
      </c>
      <c r="B91" t="s">
        <v>21</v>
      </c>
      <c r="C91" t="s">
        <v>31</v>
      </c>
      <c r="D91" t="s">
        <v>46</v>
      </c>
      <c r="E91">
        <v>45</v>
      </c>
      <c r="F91">
        <v>0</v>
      </c>
    </row>
    <row r="92" spans="1:6" x14ac:dyDescent="0.25">
      <c r="A92" t="s">
        <v>289</v>
      </c>
      <c r="B92" t="s">
        <v>21</v>
      </c>
      <c r="C92" t="s">
        <v>31</v>
      </c>
      <c r="D92" t="s">
        <v>46</v>
      </c>
      <c r="E92">
        <v>46</v>
      </c>
      <c r="F92">
        <v>0</v>
      </c>
    </row>
    <row r="93" spans="1:6" x14ac:dyDescent="0.25">
      <c r="A93" t="s">
        <v>289</v>
      </c>
      <c r="B93" t="s">
        <v>26</v>
      </c>
      <c r="C93" t="s">
        <v>32</v>
      </c>
      <c r="D93" t="s">
        <v>44</v>
      </c>
      <c r="E93">
        <v>45</v>
      </c>
      <c r="F93">
        <v>0</v>
      </c>
    </row>
    <row r="94" spans="1:6" x14ac:dyDescent="0.25">
      <c r="A94" t="s">
        <v>289</v>
      </c>
      <c r="B94" t="s">
        <v>26</v>
      </c>
      <c r="C94" t="s">
        <v>32</v>
      </c>
      <c r="D94" t="s">
        <v>44</v>
      </c>
      <c r="E94">
        <v>46</v>
      </c>
      <c r="F94">
        <v>0</v>
      </c>
    </row>
    <row r="95" spans="1:6" x14ac:dyDescent="0.25">
      <c r="A95" t="s">
        <v>289</v>
      </c>
      <c r="B95" t="s">
        <v>26</v>
      </c>
      <c r="C95" t="s">
        <v>32</v>
      </c>
      <c r="D95" t="s">
        <v>45</v>
      </c>
      <c r="E95">
        <v>45</v>
      </c>
      <c r="F95">
        <v>0</v>
      </c>
    </row>
    <row r="96" spans="1:6" x14ac:dyDescent="0.25">
      <c r="A96" t="s">
        <v>289</v>
      </c>
      <c r="B96" t="s">
        <v>26</v>
      </c>
      <c r="C96" t="s">
        <v>32</v>
      </c>
      <c r="D96" t="s">
        <v>45</v>
      </c>
      <c r="E96">
        <v>46</v>
      </c>
      <c r="F96">
        <v>0</v>
      </c>
    </row>
    <row r="97" spans="1:6" x14ac:dyDescent="0.25">
      <c r="A97" t="s">
        <v>289</v>
      </c>
      <c r="B97" t="s">
        <v>26</v>
      </c>
      <c r="C97" t="s">
        <v>32</v>
      </c>
      <c r="D97" t="s">
        <v>46</v>
      </c>
      <c r="E97">
        <v>45</v>
      </c>
      <c r="F97">
        <v>0</v>
      </c>
    </row>
    <row r="98" spans="1:6" x14ac:dyDescent="0.25">
      <c r="A98" t="s">
        <v>289</v>
      </c>
      <c r="B98" t="s">
        <v>26</v>
      </c>
      <c r="C98" t="s">
        <v>32</v>
      </c>
      <c r="D98" t="s">
        <v>46</v>
      </c>
      <c r="E98">
        <v>46</v>
      </c>
      <c r="F98">
        <v>0</v>
      </c>
    </row>
    <row r="99" spans="1:6" x14ac:dyDescent="0.25">
      <c r="A99" t="s">
        <v>289</v>
      </c>
      <c r="B99" t="s">
        <v>27</v>
      </c>
      <c r="C99" t="s">
        <v>33</v>
      </c>
      <c r="D99" t="s">
        <v>44</v>
      </c>
      <c r="E99">
        <v>45</v>
      </c>
      <c r="F99">
        <v>0</v>
      </c>
    </row>
    <row r="100" spans="1:6" x14ac:dyDescent="0.25">
      <c r="A100" t="s">
        <v>289</v>
      </c>
      <c r="B100" t="s">
        <v>27</v>
      </c>
      <c r="C100" t="s">
        <v>33</v>
      </c>
      <c r="D100" t="s">
        <v>44</v>
      </c>
      <c r="E100">
        <v>46</v>
      </c>
      <c r="F100">
        <v>0</v>
      </c>
    </row>
    <row r="101" spans="1:6" x14ac:dyDescent="0.25">
      <c r="A101" t="s">
        <v>289</v>
      </c>
      <c r="B101" t="s">
        <v>27</v>
      </c>
      <c r="C101" t="s">
        <v>33</v>
      </c>
      <c r="D101" t="s">
        <v>45</v>
      </c>
      <c r="E101">
        <v>45</v>
      </c>
      <c r="F101">
        <v>0</v>
      </c>
    </row>
    <row r="102" spans="1:6" x14ac:dyDescent="0.25">
      <c r="A102" t="s">
        <v>289</v>
      </c>
      <c r="B102" t="s">
        <v>27</v>
      </c>
      <c r="C102" t="s">
        <v>33</v>
      </c>
      <c r="D102" t="s">
        <v>45</v>
      </c>
      <c r="E102">
        <v>46</v>
      </c>
      <c r="F102">
        <v>0</v>
      </c>
    </row>
    <row r="103" spans="1:6" x14ac:dyDescent="0.25">
      <c r="A103" t="s">
        <v>289</v>
      </c>
      <c r="B103" t="s">
        <v>27</v>
      </c>
      <c r="C103" t="s">
        <v>33</v>
      </c>
      <c r="D103" t="s">
        <v>46</v>
      </c>
      <c r="E103">
        <v>45</v>
      </c>
      <c r="F103">
        <v>0</v>
      </c>
    </row>
    <row r="104" spans="1:6" x14ac:dyDescent="0.25">
      <c r="A104" t="s">
        <v>289</v>
      </c>
      <c r="B104" t="s">
        <v>27</v>
      </c>
      <c r="C104" t="s">
        <v>33</v>
      </c>
      <c r="D104" t="s">
        <v>46</v>
      </c>
      <c r="E104">
        <v>46</v>
      </c>
      <c r="F104">
        <v>0</v>
      </c>
    </row>
    <row r="105" spans="1:6" x14ac:dyDescent="0.25">
      <c r="A105" t="s">
        <v>289</v>
      </c>
      <c r="B105" t="s">
        <v>21</v>
      </c>
      <c r="C105" t="s">
        <v>31</v>
      </c>
      <c r="D105" t="s">
        <v>44</v>
      </c>
      <c r="E105">
        <v>45</v>
      </c>
      <c r="F105">
        <v>0</v>
      </c>
    </row>
    <row r="106" spans="1:6" x14ac:dyDescent="0.25">
      <c r="A106" t="s">
        <v>289</v>
      </c>
      <c r="B106" t="s">
        <v>21</v>
      </c>
      <c r="C106" t="s">
        <v>31</v>
      </c>
      <c r="D106" t="s">
        <v>44</v>
      </c>
      <c r="E106">
        <v>46</v>
      </c>
      <c r="F106">
        <v>0</v>
      </c>
    </row>
    <row r="107" spans="1:6" x14ac:dyDescent="0.25">
      <c r="A107" t="s">
        <v>289</v>
      </c>
      <c r="B107" t="s">
        <v>21</v>
      </c>
      <c r="C107" t="s">
        <v>31</v>
      </c>
      <c r="D107" t="s">
        <v>45</v>
      </c>
      <c r="E107">
        <v>45</v>
      </c>
      <c r="F107">
        <v>0</v>
      </c>
    </row>
    <row r="108" spans="1:6" x14ac:dyDescent="0.25">
      <c r="A108" t="s">
        <v>289</v>
      </c>
      <c r="B108" t="s">
        <v>21</v>
      </c>
      <c r="C108" t="s">
        <v>31</v>
      </c>
      <c r="D108" t="s">
        <v>45</v>
      </c>
      <c r="E108">
        <v>46</v>
      </c>
      <c r="F108">
        <v>0</v>
      </c>
    </row>
    <row r="109" spans="1:6" x14ac:dyDescent="0.25">
      <c r="A109" t="s">
        <v>289</v>
      </c>
      <c r="B109" t="s">
        <v>21</v>
      </c>
      <c r="C109" t="s">
        <v>31</v>
      </c>
      <c r="D109" t="s">
        <v>46</v>
      </c>
      <c r="E109">
        <v>45</v>
      </c>
      <c r="F109">
        <v>0</v>
      </c>
    </row>
    <row r="110" spans="1:6" x14ac:dyDescent="0.25">
      <c r="A110" t="s">
        <v>289</v>
      </c>
      <c r="B110" t="s">
        <v>21</v>
      </c>
      <c r="C110" t="s">
        <v>31</v>
      </c>
      <c r="D110" t="s">
        <v>46</v>
      </c>
      <c r="E110">
        <v>46</v>
      </c>
      <c r="F110">
        <v>0</v>
      </c>
    </row>
    <row r="111" spans="1:6" x14ac:dyDescent="0.25">
      <c r="A111" t="s">
        <v>289</v>
      </c>
      <c r="B111" t="s">
        <v>26</v>
      </c>
      <c r="C111" t="s">
        <v>32</v>
      </c>
      <c r="D111" t="s">
        <v>44</v>
      </c>
      <c r="E111">
        <v>45</v>
      </c>
      <c r="F111">
        <v>0</v>
      </c>
    </row>
    <row r="112" spans="1:6" x14ac:dyDescent="0.25">
      <c r="A112" t="s">
        <v>289</v>
      </c>
      <c r="B112" t="s">
        <v>26</v>
      </c>
      <c r="C112" t="s">
        <v>32</v>
      </c>
      <c r="D112" t="s">
        <v>44</v>
      </c>
      <c r="E112">
        <v>46</v>
      </c>
      <c r="F112">
        <v>0</v>
      </c>
    </row>
    <row r="113" spans="1:6" x14ac:dyDescent="0.25">
      <c r="A113" t="s">
        <v>289</v>
      </c>
      <c r="B113" t="s">
        <v>26</v>
      </c>
      <c r="C113" t="s">
        <v>32</v>
      </c>
      <c r="D113" t="s">
        <v>45</v>
      </c>
      <c r="E113">
        <v>45</v>
      </c>
      <c r="F113">
        <v>0</v>
      </c>
    </row>
    <row r="114" spans="1:6" x14ac:dyDescent="0.25">
      <c r="A114" t="s">
        <v>289</v>
      </c>
      <c r="B114" t="s">
        <v>26</v>
      </c>
      <c r="C114" t="s">
        <v>32</v>
      </c>
      <c r="D114" t="s">
        <v>45</v>
      </c>
      <c r="E114">
        <v>46</v>
      </c>
      <c r="F114">
        <v>0</v>
      </c>
    </row>
    <row r="115" spans="1:6" x14ac:dyDescent="0.25">
      <c r="A115" t="s">
        <v>289</v>
      </c>
      <c r="B115" t="s">
        <v>26</v>
      </c>
      <c r="C115" t="s">
        <v>32</v>
      </c>
      <c r="D115" t="s">
        <v>46</v>
      </c>
      <c r="E115">
        <v>45</v>
      </c>
      <c r="F115">
        <v>0</v>
      </c>
    </row>
    <row r="116" spans="1:6" x14ac:dyDescent="0.25">
      <c r="A116" t="s">
        <v>289</v>
      </c>
      <c r="B116" t="s">
        <v>26</v>
      </c>
      <c r="C116" t="s">
        <v>32</v>
      </c>
      <c r="D116" t="s">
        <v>46</v>
      </c>
      <c r="E116">
        <v>46</v>
      </c>
      <c r="F116">
        <v>0</v>
      </c>
    </row>
    <row r="117" spans="1:6" x14ac:dyDescent="0.25">
      <c r="A117" t="s">
        <v>289</v>
      </c>
      <c r="B117" t="s">
        <v>27</v>
      </c>
      <c r="C117" t="s">
        <v>33</v>
      </c>
      <c r="D117" t="s">
        <v>44</v>
      </c>
      <c r="E117">
        <v>45</v>
      </c>
      <c r="F117">
        <v>0</v>
      </c>
    </row>
    <row r="118" spans="1:6" x14ac:dyDescent="0.25">
      <c r="A118" t="s">
        <v>289</v>
      </c>
      <c r="B118" t="s">
        <v>27</v>
      </c>
      <c r="C118" t="s">
        <v>33</v>
      </c>
      <c r="D118" t="s">
        <v>44</v>
      </c>
      <c r="E118">
        <v>46</v>
      </c>
      <c r="F118">
        <v>0</v>
      </c>
    </row>
    <row r="119" spans="1:6" x14ac:dyDescent="0.25">
      <c r="A119" t="s">
        <v>289</v>
      </c>
      <c r="B119" t="s">
        <v>27</v>
      </c>
      <c r="C119" t="s">
        <v>33</v>
      </c>
      <c r="D119" t="s">
        <v>45</v>
      </c>
      <c r="E119">
        <v>45</v>
      </c>
      <c r="F119">
        <v>0</v>
      </c>
    </row>
    <row r="120" spans="1:6" x14ac:dyDescent="0.25">
      <c r="A120" t="s">
        <v>289</v>
      </c>
      <c r="B120" t="s">
        <v>27</v>
      </c>
      <c r="C120" t="s">
        <v>33</v>
      </c>
      <c r="D120" t="s">
        <v>45</v>
      </c>
      <c r="E120">
        <v>46</v>
      </c>
      <c r="F120">
        <v>0</v>
      </c>
    </row>
    <row r="121" spans="1:6" x14ac:dyDescent="0.25">
      <c r="A121" t="s">
        <v>289</v>
      </c>
      <c r="B121" t="s">
        <v>27</v>
      </c>
      <c r="C121" t="s">
        <v>33</v>
      </c>
      <c r="D121" t="s">
        <v>46</v>
      </c>
      <c r="E121">
        <v>45</v>
      </c>
      <c r="F121">
        <v>0</v>
      </c>
    </row>
    <row r="122" spans="1:6" x14ac:dyDescent="0.25">
      <c r="A122" t="s">
        <v>289</v>
      </c>
      <c r="B122" t="s">
        <v>27</v>
      </c>
      <c r="C122" t="s">
        <v>33</v>
      </c>
      <c r="D122" t="s">
        <v>46</v>
      </c>
      <c r="E122">
        <v>46</v>
      </c>
      <c r="F122">
        <v>0</v>
      </c>
    </row>
    <row r="124" spans="1:6" x14ac:dyDescent="0.25">
      <c r="A124" t="s">
        <v>89</v>
      </c>
    </row>
    <row r="125" spans="1:6" x14ac:dyDescent="0.25">
      <c r="A125" t="s">
        <v>287</v>
      </c>
      <c r="B125" t="s">
        <v>21</v>
      </c>
      <c r="C125" t="s">
        <v>31</v>
      </c>
      <c r="D125" t="s">
        <v>44</v>
      </c>
      <c r="E125">
        <v>45</v>
      </c>
      <c r="F125">
        <v>0</v>
      </c>
    </row>
    <row r="126" spans="1:6" x14ac:dyDescent="0.25">
      <c r="A126" t="s">
        <v>287</v>
      </c>
      <c r="B126" t="s">
        <v>26</v>
      </c>
      <c r="C126" t="s">
        <v>32</v>
      </c>
      <c r="D126" t="s">
        <v>44</v>
      </c>
      <c r="E126">
        <v>45</v>
      </c>
      <c r="F126">
        <v>0</v>
      </c>
    </row>
    <row r="127" spans="1:6" x14ac:dyDescent="0.25">
      <c r="A127" t="s">
        <v>287</v>
      </c>
      <c r="B127" t="s">
        <v>27</v>
      </c>
      <c r="C127" t="s">
        <v>33</v>
      </c>
      <c r="D127" t="s">
        <v>44</v>
      </c>
      <c r="E127">
        <v>45</v>
      </c>
      <c r="F127">
        <v>0</v>
      </c>
    </row>
    <row r="128" spans="1:6" x14ac:dyDescent="0.25">
      <c r="A128" t="s">
        <v>287</v>
      </c>
      <c r="B128" t="s">
        <v>21</v>
      </c>
      <c r="C128" t="s">
        <v>31</v>
      </c>
      <c r="D128" t="s">
        <v>44</v>
      </c>
      <c r="E128">
        <v>45</v>
      </c>
      <c r="F128">
        <v>0</v>
      </c>
    </row>
    <row r="129" spans="1:6" x14ac:dyDescent="0.25">
      <c r="A129" t="s">
        <v>287</v>
      </c>
      <c r="B129" t="s">
        <v>26</v>
      </c>
      <c r="C129" t="s">
        <v>32</v>
      </c>
      <c r="D129" t="s">
        <v>44</v>
      </c>
      <c r="E129">
        <v>45</v>
      </c>
      <c r="F129">
        <v>0</v>
      </c>
    </row>
    <row r="130" spans="1:6" x14ac:dyDescent="0.25">
      <c r="A130" t="s">
        <v>287</v>
      </c>
      <c r="B130" t="s">
        <v>27</v>
      </c>
      <c r="C130" t="s">
        <v>33</v>
      </c>
      <c r="D130" t="s">
        <v>44</v>
      </c>
      <c r="E130">
        <v>45</v>
      </c>
      <c r="F130">
        <v>0</v>
      </c>
    </row>
    <row r="131" spans="1:6" x14ac:dyDescent="0.25">
      <c r="A131" t="s">
        <v>287</v>
      </c>
      <c r="B131" t="s">
        <v>21</v>
      </c>
      <c r="C131" t="s">
        <v>31</v>
      </c>
      <c r="D131" t="s">
        <v>44</v>
      </c>
      <c r="E131">
        <v>45</v>
      </c>
      <c r="F131">
        <v>0</v>
      </c>
    </row>
    <row r="132" spans="1:6" x14ac:dyDescent="0.25">
      <c r="A132" t="s">
        <v>287</v>
      </c>
      <c r="B132" t="s">
        <v>26</v>
      </c>
      <c r="C132" t="s">
        <v>32</v>
      </c>
      <c r="D132" t="s">
        <v>44</v>
      </c>
      <c r="E132">
        <v>45</v>
      </c>
      <c r="F132">
        <v>0</v>
      </c>
    </row>
    <row r="133" spans="1:6" x14ac:dyDescent="0.25">
      <c r="A133" t="s">
        <v>287</v>
      </c>
      <c r="B133" t="s">
        <v>27</v>
      </c>
      <c r="C133" t="s">
        <v>33</v>
      </c>
      <c r="D133" t="s">
        <v>44</v>
      </c>
      <c r="E133">
        <v>45</v>
      </c>
      <c r="F133">
        <v>0</v>
      </c>
    </row>
    <row r="134" spans="1:6" x14ac:dyDescent="0.25">
      <c r="A134" t="s">
        <v>287</v>
      </c>
      <c r="B134" t="s">
        <v>21</v>
      </c>
      <c r="C134" t="s">
        <v>31</v>
      </c>
      <c r="D134" t="s">
        <v>45</v>
      </c>
      <c r="E134">
        <v>45</v>
      </c>
      <c r="F134">
        <v>0</v>
      </c>
    </row>
    <row r="135" spans="1:6" x14ac:dyDescent="0.25">
      <c r="A135" t="s">
        <v>287</v>
      </c>
      <c r="B135" t="s">
        <v>26</v>
      </c>
      <c r="C135" t="s">
        <v>32</v>
      </c>
      <c r="D135" t="s">
        <v>45</v>
      </c>
      <c r="E135">
        <v>45</v>
      </c>
      <c r="F135">
        <v>0</v>
      </c>
    </row>
    <row r="136" spans="1:6" x14ac:dyDescent="0.25">
      <c r="A136" t="s">
        <v>287</v>
      </c>
      <c r="B136" t="s">
        <v>27</v>
      </c>
      <c r="C136" t="s">
        <v>33</v>
      </c>
      <c r="D136" t="s">
        <v>45</v>
      </c>
      <c r="E136">
        <v>45</v>
      </c>
      <c r="F136">
        <v>0</v>
      </c>
    </row>
    <row r="137" spans="1:6" x14ac:dyDescent="0.25">
      <c r="A137" t="s">
        <v>287</v>
      </c>
      <c r="B137" t="s">
        <v>21</v>
      </c>
      <c r="C137" t="s">
        <v>31</v>
      </c>
      <c r="D137" t="s">
        <v>45</v>
      </c>
      <c r="E137">
        <v>45</v>
      </c>
      <c r="F137">
        <v>0</v>
      </c>
    </row>
    <row r="138" spans="1:6" x14ac:dyDescent="0.25">
      <c r="A138" t="s">
        <v>287</v>
      </c>
      <c r="B138" t="s">
        <v>26</v>
      </c>
      <c r="C138" t="s">
        <v>32</v>
      </c>
      <c r="D138" t="s">
        <v>45</v>
      </c>
      <c r="E138">
        <v>45</v>
      </c>
      <c r="F138">
        <v>0</v>
      </c>
    </row>
    <row r="139" spans="1:6" x14ac:dyDescent="0.25">
      <c r="A139" t="s">
        <v>287</v>
      </c>
      <c r="B139" t="s">
        <v>27</v>
      </c>
      <c r="C139" t="s">
        <v>33</v>
      </c>
      <c r="D139" t="s">
        <v>45</v>
      </c>
      <c r="E139">
        <v>45</v>
      </c>
      <c r="F139">
        <v>0</v>
      </c>
    </row>
    <row r="140" spans="1:6" x14ac:dyDescent="0.25">
      <c r="A140" t="s">
        <v>287</v>
      </c>
      <c r="B140" t="s">
        <v>21</v>
      </c>
      <c r="C140" t="s">
        <v>31</v>
      </c>
      <c r="D140" t="s">
        <v>45</v>
      </c>
      <c r="E140">
        <v>45</v>
      </c>
      <c r="F140">
        <v>0</v>
      </c>
    </row>
    <row r="141" spans="1:6" x14ac:dyDescent="0.25">
      <c r="A141" t="s">
        <v>287</v>
      </c>
      <c r="B141" t="s">
        <v>26</v>
      </c>
      <c r="C141" t="s">
        <v>32</v>
      </c>
      <c r="D141" t="s">
        <v>45</v>
      </c>
      <c r="E141">
        <v>45</v>
      </c>
      <c r="F141">
        <v>0</v>
      </c>
    </row>
    <row r="142" spans="1:6" x14ac:dyDescent="0.25">
      <c r="A142" t="s">
        <v>287</v>
      </c>
      <c r="B142" t="s">
        <v>27</v>
      </c>
      <c r="C142" t="s">
        <v>33</v>
      </c>
      <c r="D142" t="s">
        <v>45</v>
      </c>
      <c r="E142">
        <v>45</v>
      </c>
      <c r="F142">
        <v>0</v>
      </c>
    </row>
    <row r="143" spans="1:6" x14ac:dyDescent="0.25">
      <c r="A143" t="s">
        <v>287</v>
      </c>
      <c r="B143" t="s">
        <v>21</v>
      </c>
      <c r="C143" t="s">
        <v>31</v>
      </c>
      <c r="D143" t="s">
        <v>46</v>
      </c>
      <c r="E143">
        <v>45</v>
      </c>
      <c r="F143">
        <v>0</v>
      </c>
    </row>
    <row r="144" spans="1:6" x14ac:dyDescent="0.25">
      <c r="A144" t="s">
        <v>287</v>
      </c>
      <c r="B144" t="s">
        <v>26</v>
      </c>
      <c r="C144" t="s">
        <v>32</v>
      </c>
      <c r="D144" t="s">
        <v>46</v>
      </c>
      <c r="E144">
        <v>45</v>
      </c>
      <c r="F144">
        <v>0</v>
      </c>
    </row>
    <row r="145" spans="1:6" x14ac:dyDescent="0.25">
      <c r="A145" t="s">
        <v>287</v>
      </c>
      <c r="B145" t="s">
        <v>27</v>
      </c>
      <c r="C145" t="s">
        <v>33</v>
      </c>
      <c r="D145" t="s">
        <v>46</v>
      </c>
      <c r="E145">
        <v>45</v>
      </c>
      <c r="F145">
        <v>0</v>
      </c>
    </row>
    <row r="146" spans="1:6" x14ac:dyDescent="0.25">
      <c r="A146" t="s">
        <v>287</v>
      </c>
      <c r="B146" t="s">
        <v>21</v>
      </c>
      <c r="C146" t="s">
        <v>31</v>
      </c>
      <c r="D146" t="s">
        <v>46</v>
      </c>
      <c r="E146">
        <v>45</v>
      </c>
      <c r="F146">
        <v>0</v>
      </c>
    </row>
    <row r="147" spans="1:6" x14ac:dyDescent="0.25">
      <c r="A147" t="s">
        <v>287</v>
      </c>
      <c r="B147" t="s">
        <v>26</v>
      </c>
      <c r="C147" t="s">
        <v>32</v>
      </c>
      <c r="D147" t="s">
        <v>46</v>
      </c>
      <c r="E147">
        <v>45</v>
      </c>
      <c r="F147">
        <v>0</v>
      </c>
    </row>
    <row r="148" spans="1:6" x14ac:dyDescent="0.25">
      <c r="A148" t="s">
        <v>287</v>
      </c>
      <c r="B148" t="s">
        <v>27</v>
      </c>
      <c r="C148" t="s">
        <v>33</v>
      </c>
      <c r="D148" t="s">
        <v>46</v>
      </c>
      <c r="E148">
        <v>45</v>
      </c>
      <c r="F148">
        <v>0</v>
      </c>
    </row>
    <row r="149" spans="1:6" x14ac:dyDescent="0.25">
      <c r="A149" t="s">
        <v>287</v>
      </c>
      <c r="B149" t="s">
        <v>21</v>
      </c>
      <c r="C149" t="s">
        <v>31</v>
      </c>
      <c r="D149" t="s">
        <v>46</v>
      </c>
      <c r="E149">
        <v>45</v>
      </c>
      <c r="F149">
        <v>0</v>
      </c>
    </row>
    <row r="150" spans="1:6" x14ac:dyDescent="0.25">
      <c r="A150" t="s">
        <v>287</v>
      </c>
      <c r="B150" t="s">
        <v>26</v>
      </c>
      <c r="C150" t="s">
        <v>32</v>
      </c>
      <c r="D150" t="s">
        <v>46</v>
      </c>
      <c r="E150">
        <v>45</v>
      </c>
      <c r="F150">
        <v>0</v>
      </c>
    </row>
    <row r="151" spans="1:6" x14ac:dyDescent="0.25">
      <c r="A151" t="s">
        <v>287</v>
      </c>
      <c r="B151" t="s">
        <v>27</v>
      </c>
      <c r="C151" t="s">
        <v>33</v>
      </c>
      <c r="D151" t="s">
        <v>46</v>
      </c>
      <c r="E151">
        <v>45</v>
      </c>
      <c r="F151">
        <v>0</v>
      </c>
    </row>
    <row r="152" spans="1:6" x14ac:dyDescent="0.25">
      <c r="A152" t="s">
        <v>287</v>
      </c>
      <c r="B152" t="s">
        <v>21</v>
      </c>
      <c r="C152" t="s">
        <v>31</v>
      </c>
      <c r="D152" t="s">
        <v>44</v>
      </c>
      <c r="E152">
        <v>45</v>
      </c>
      <c r="F152">
        <v>0</v>
      </c>
    </row>
    <row r="153" spans="1:6" x14ac:dyDescent="0.25">
      <c r="A153" t="s">
        <v>287</v>
      </c>
      <c r="B153" t="s">
        <v>26</v>
      </c>
      <c r="C153" t="s">
        <v>32</v>
      </c>
      <c r="D153" t="s">
        <v>44</v>
      </c>
      <c r="E153">
        <v>45</v>
      </c>
      <c r="F153">
        <v>0</v>
      </c>
    </row>
    <row r="154" spans="1:6" x14ac:dyDescent="0.25">
      <c r="A154" t="s">
        <v>287</v>
      </c>
      <c r="B154" t="s">
        <v>27</v>
      </c>
      <c r="C154" t="s">
        <v>33</v>
      </c>
      <c r="D154" t="s">
        <v>44</v>
      </c>
      <c r="E154">
        <v>45</v>
      </c>
      <c r="F154">
        <v>0</v>
      </c>
    </row>
    <row r="155" spans="1:6" x14ac:dyDescent="0.25">
      <c r="A155" t="s">
        <v>287</v>
      </c>
      <c r="B155" t="s">
        <v>21</v>
      </c>
      <c r="C155" t="s">
        <v>31</v>
      </c>
      <c r="D155" t="s">
        <v>44</v>
      </c>
      <c r="E155">
        <v>45</v>
      </c>
      <c r="F155">
        <v>0</v>
      </c>
    </row>
    <row r="156" spans="1:6" x14ac:dyDescent="0.25">
      <c r="A156" t="s">
        <v>287</v>
      </c>
      <c r="B156" t="s">
        <v>26</v>
      </c>
      <c r="C156" t="s">
        <v>32</v>
      </c>
      <c r="D156" t="s">
        <v>44</v>
      </c>
      <c r="E156">
        <v>45</v>
      </c>
      <c r="F156">
        <v>0</v>
      </c>
    </row>
    <row r="157" spans="1:6" x14ac:dyDescent="0.25">
      <c r="A157" t="s">
        <v>287</v>
      </c>
      <c r="B157" t="s">
        <v>27</v>
      </c>
      <c r="C157" t="s">
        <v>33</v>
      </c>
      <c r="D157" t="s">
        <v>44</v>
      </c>
      <c r="E157">
        <v>45</v>
      </c>
      <c r="F157">
        <v>0</v>
      </c>
    </row>
    <row r="158" spans="1:6" x14ac:dyDescent="0.25">
      <c r="A158" t="s">
        <v>287</v>
      </c>
      <c r="B158" t="s">
        <v>21</v>
      </c>
      <c r="C158" t="s">
        <v>31</v>
      </c>
      <c r="D158" t="s">
        <v>44</v>
      </c>
      <c r="E158">
        <v>45</v>
      </c>
      <c r="F158">
        <v>0</v>
      </c>
    </row>
    <row r="159" spans="1:6" x14ac:dyDescent="0.25">
      <c r="A159" t="s">
        <v>287</v>
      </c>
      <c r="B159" t="s">
        <v>26</v>
      </c>
      <c r="C159" t="s">
        <v>32</v>
      </c>
      <c r="D159" t="s">
        <v>44</v>
      </c>
      <c r="E159">
        <v>45</v>
      </c>
      <c r="F159">
        <v>0</v>
      </c>
    </row>
    <row r="160" spans="1:6" x14ac:dyDescent="0.25">
      <c r="A160" t="s">
        <v>287</v>
      </c>
      <c r="B160" t="s">
        <v>27</v>
      </c>
      <c r="C160" t="s">
        <v>33</v>
      </c>
      <c r="D160" t="s">
        <v>44</v>
      </c>
      <c r="E160">
        <v>45</v>
      </c>
      <c r="F160">
        <v>0</v>
      </c>
    </row>
    <row r="161" spans="1:6" x14ac:dyDescent="0.25">
      <c r="A161" t="s">
        <v>287</v>
      </c>
      <c r="B161" t="s">
        <v>21</v>
      </c>
      <c r="C161" t="s">
        <v>31</v>
      </c>
      <c r="D161" t="s">
        <v>45</v>
      </c>
      <c r="E161">
        <v>45</v>
      </c>
      <c r="F161">
        <v>0</v>
      </c>
    </row>
    <row r="162" spans="1:6" x14ac:dyDescent="0.25">
      <c r="A162" t="s">
        <v>287</v>
      </c>
      <c r="B162" t="s">
        <v>26</v>
      </c>
      <c r="C162" t="s">
        <v>32</v>
      </c>
      <c r="D162" t="s">
        <v>45</v>
      </c>
      <c r="E162">
        <v>45</v>
      </c>
      <c r="F162">
        <v>0</v>
      </c>
    </row>
    <row r="163" spans="1:6" x14ac:dyDescent="0.25">
      <c r="A163" t="s">
        <v>287</v>
      </c>
      <c r="B163" t="s">
        <v>27</v>
      </c>
      <c r="C163" t="s">
        <v>33</v>
      </c>
      <c r="D163" t="s">
        <v>45</v>
      </c>
      <c r="E163">
        <v>45</v>
      </c>
      <c r="F163">
        <v>0</v>
      </c>
    </row>
    <row r="164" spans="1:6" x14ac:dyDescent="0.25">
      <c r="A164" t="s">
        <v>287</v>
      </c>
      <c r="B164" t="s">
        <v>21</v>
      </c>
      <c r="C164" t="s">
        <v>31</v>
      </c>
      <c r="D164" t="s">
        <v>45</v>
      </c>
      <c r="E164">
        <v>45</v>
      </c>
      <c r="F164">
        <v>0</v>
      </c>
    </row>
    <row r="165" spans="1:6" x14ac:dyDescent="0.25">
      <c r="A165" t="s">
        <v>287</v>
      </c>
      <c r="B165" t="s">
        <v>26</v>
      </c>
      <c r="C165" t="s">
        <v>32</v>
      </c>
      <c r="D165" t="s">
        <v>45</v>
      </c>
      <c r="E165">
        <v>45</v>
      </c>
      <c r="F165">
        <v>0</v>
      </c>
    </row>
    <row r="166" spans="1:6" x14ac:dyDescent="0.25">
      <c r="A166" t="s">
        <v>287</v>
      </c>
      <c r="B166" t="s">
        <v>27</v>
      </c>
      <c r="C166" t="s">
        <v>33</v>
      </c>
      <c r="D166" t="s">
        <v>45</v>
      </c>
      <c r="E166">
        <v>45</v>
      </c>
      <c r="F166">
        <v>0</v>
      </c>
    </row>
    <row r="167" spans="1:6" x14ac:dyDescent="0.25">
      <c r="A167" t="s">
        <v>287</v>
      </c>
      <c r="B167" t="s">
        <v>21</v>
      </c>
      <c r="C167" t="s">
        <v>31</v>
      </c>
      <c r="D167" t="s">
        <v>45</v>
      </c>
      <c r="E167">
        <v>45</v>
      </c>
      <c r="F167">
        <v>0</v>
      </c>
    </row>
    <row r="168" spans="1:6" x14ac:dyDescent="0.25">
      <c r="A168" t="s">
        <v>287</v>
      </c>
      <c r="B168" t="s">
        <v>26</v>
      </c>
      <c r="C168" t="s">
        <v>32</v>
      </c>
      <c r="D168" t="s">
        <v>45</v>
      </c>
      <c r="E168">
        <v>45</v>
      </c>
      <c r="F168">
        <v>0</v>
      </c>
    </row>
    <row r="169" spans="1:6" x14ac:dyDescent="0.25">
      <c r="A169" t="s">
        <v>287</v>
      </c>
      <c r="B169" t="s">
        <v>27</v>
      </c>
      <c r="C169" t="s">
        <v>33</v>
      </c>
      <c r="D169" t="s">
        <v>45</v>
      </c>
      <c r="E169">
        <v>45</v>
      </c>
      <c r="F169">
        <v>0</v>
      </c>
    </row>
    <row r="170" spans="1:6" x14ac:dyDescent="0.25">
      <c r="A170" t="s">
        <v>287</v>
      </c>
      <c r="B170" t="s">
        <v>21</v>
      </c>
      <c r="C170" t="s">
        <v>31</v>
      </c>
      <c r="D170" t="s">
        <v>46</v>
      </c>
      <c r="E170">
        <v>45</v>
      </c>
      <c r="F170">
        <v>0</v>
      </c>
    </row>
    <row r="171" spans="1:6" x14ac:dyDescent="0.25">
      <c r="A171" t="s">
        <v>287</v>
      </c>
      <c r="B171" t="s">
        <v>26</v>
      </c>
      <c r="C171" t="s">
        <v>32</v>
      </c>
      <c r="D171" t="s">
        <v>46</v>
      </c>
      <c r="E171">
        <v>45</v>
      </c>
      <c r="F171">
        <v>0</v>
      </c>
    </row>
    <row r="172" spans="1:6" x14ac:dyDescent="0.25">
      <c r="A172" t="s">
        <v>287</v>
      </c>
      <c r="B172" t="s">
        <v>27</v>
      </c>
      <c r="C172" t="s">
        <v>33</v>
      </c>
      <c r="D172" t="s">
        <v>46</v>
      </c>
      <c r="E172">
        <v>45</v>
      </c>
      <c r="F172">
        <v>0</v>
      </c>
    </row>
    <row r="173" spans="1:6" x14ac:dyDescent="0.25">
      <c r="A173" t="s">
        <v>287</v>
      </c>
      <c r="B173" t="s">
        <v>21</v>
      </c>
      <c r="C173" t="s">
        <v>31</v>
      </c>
      <c r="D173" t="s">
        <v>46</v>
      </c>
      <c r="E173">
        <v>45</v>
      </c>
      <c r="F173">
        <v>0</v>
      </c>
    </row>
    <row r="174" spans="1:6" x14ac:dyDescent="0.25">
      <c r="A174" t="s">
        <v>287</v>
      </c>
      <c r="B174" t="s">
        <v>26</v>
      </c>
      <c r="C174" t="s">
        <v>32</v>
      </c>
      <c r="D174" t="s">
        <v>46</v>
      </c>
      <c r="E174">
        <v>45</v>
      </c>
      <c r="F174">
        <v>0</v>
      </c>
    </row>
    <row r="175" spans="1:6" x14ac:dyDescent="0.25">
      <c r="A175" t="s">
        <v>287</v>
      </c>
      <c r="B175" t="s">
        <v>27</v>
      </c>
      <c r="C175" t="s">
        <v>33</v>
      </c>
      <c r="D175" t="s">
        <v>46</v>
      </c>
      <c r="E175">
        <v>45</v>
      </c>
      <c r="F175">
        <v>0</v>
      </c>
    </row>
    <row r="176" spans="1:6" x14ac:dyDescent="0.25">
      <c r="A176" t="s">
        <v>287</v>
      </c>
      <c r="B176" t="s">
        <v>21</v>
      </c>
      <c r="C176" t="s">
        <v>31</v>
      </c>
      <c r="D176" t="s">
        <v>46</v>
      </c>
      <c r="E176">
        <v>45</v>
      </c>
      <c r="F176">
        <v>0</v>
      </c>
    </row>
    <row r="177" spans="1:6" x14ac:dyDescent="0.25">
      <c r="A177" t="s">
        <v>287</v>
      </c>
      <c r="B177" t="s">
        <v>26</v>
      </c>
      <c r="C177" t="s">
        <v>32</v>
      </c>
      <c r="D177" t="s">
        <v>46</v>
      </c>
      <c r="E177">
        <v>45</v>
      </c>
      <c r="F177">
        <v>0</v>
      </c>
    </row>
    <row r="178" spans="1:6" x14ac:dyDescent="0.25">
      <c r="A178" t="s">
        <v>287</v>
      </c>
      <c r="B178" t="s">
        <v>27</v>
      </c>
      <c r="C178" t="s">
        <v>33</v>
      </c>
      <c r="D178" t="s">
        <v>46</v>
      </c>
      <c r="E178">
        <v>45</v>
      </c>
      <c r="F178">
        <v>0</v>
      </c>
    </row>
    <row r="179" spans="1:6" x14ac:dyDescent="0.25">
      <c r="A179" t="s">
        <v>287</v>
      </c>
      <c r="B179" t="s">
        <v>21</v>
      </c>
      <c r="C179" t="s">
        <v>31</v>
      </c>
      <c r="D179" t="s">
        <v>44</v>
      </c>
      <c r="E179">
        <v>46</v>
      </c>
      <c r="F179">
        <v>0</v>
      </c>
    </row>
    <row r="180" spans="1:6" x14ac:dyDescent="0.25">
      <c r="A180" t="s">
        <v>287</v>
      </c>
      <c r="B180" t="s">
        <v>26</v>
      </c>
      <c r="C180" t="s">
        <v>32</v>
      </c>
      <c r="D180" t="s">
        <v>44</v>
      </c>
      <c r="E180">
        <v>46</v>
      </c>
      <c r="F180">
        <v>0</v>
      </c>
    </row>
    <row r="181" spans="1:6" x14ac:dyDescent="0.25">
      <c r="A181" t="s">
        <v>287</v>
      </c>
      <c r="B181" t="s">
        <v>27</v>
      </c>
      <c r="C181" t="s">
        <v>33</v>
      </c>
      <c r="D181" t="s">
        <v>44</v>
      </c>
      <c r="E181">
        <v>46</v>
      </c>
      <c r="F181">
        <v>0</v>
      </c>
    </row>
    <row r="182" spans="1:6" x14ac:dyDescent="0.25">
      <c r="A182" t="s">
        <v>287</v>
      </c>
      <c r="B182" t="s">
        <v>21</v>
      </c>
      <c r="C182" t="s">
        <v>31</v>
      </c>
      <c r="D182" t="s">
        <v>44</v>
      </c>
      <c r="E182">
        <v>46</v>
      </c>
      <c r="F182">
        <v>0</v>
      </c>
    </row>
    <row r="183" spans="1:6" x14ac:dyDescent="0.25">
      <c r="A183" t="s">
        <v>287</v>
      </c>
      <c r="B183" t="s">
        <v>26</v>
      </c>
      <c r="C183" t="s">
        <v>32</v>
      </c>
      <c r="D183" t="s">
        <v>44</v>
      </c>
      <c r="E183">
        <v>46</v>
      </c>
      <c r="F183">
        <v>0</v>
      </c>
    </row>
    <row r="184" spans="1:6" x14ac:dyDescent="0.25">
      <c r="A184" t="s">
        <v>287</v>
      </c>
      <c r="B184" t="s">
        <v>27</v>
      </c>
      <c r="C184" t="s">
        <v>33</v>
      </c>
      <c r="D184" t="s">
        <v>44</v>
      </c>
      <c r="E184">
        <v>46</v>
      </c>
      <c r="F184">
        <v>0</v>
      </c>
    </row>
    <row r="185" spans="1:6" x14ac:dyDescent="0.25">
      <c r="A185" t="s">
        <v>287</v>
      </c>
      <c r="B185" t="s">
        <v>21</v>
      </c>
      <c r="C185" t="s">
        <v>31</v>
      </c>
      <c r="D185" t="s">
        <v>44</v>
      </c>
      <c r="E185">
        <v>46</v>
      </c>
      <c r="F185">
        <v>0</v>
      </c>
    </row>
    <row r="186" spans="1:6" x14ac:dyDescent="0.25">
      <c r="A186" t="s">
        <v>287</v>
      </c>
      <c r="B186" t="s">
        <v>26</v>
      </c>
      <c r="C186" t="s">
        <v>32</v>
      </c>
      <c r="D186" t="s">
        <v>44</v>
      </c>
      <c r="E186">
        <v>46</v>
      </c>
      <c r="F186">
        <v>0</v>
      </c>
    </row>
    <row r="187" spans="1:6" x14ac:dyDescent="0.25">
      <c r="A187" t="s">
        <v>287</v>
      </c>
      <c r="B187" t="s">
        <v>27</v>
      </c>
      <c r="C187" t="s">
        <v>33</v>
      </c>
      <c r="D187" t="s">
        <v>44</v>
      </c>
      <c r="E187">
        <v>46</v>
      </c>
      <c r="F187">
        <v>0</v>
      </c>
    </row>
    <row r="188" spans="1:6" x14ac:dyDescent="0.25">
      <c r="A188" t="s">
        <v>287</v>
      </c>
      <c r="B188" t="s">
        <v>21</v>
      </c>
      <c r="C188" t="s">
        <v>31</v>
      </c>
      <c r="D188" t="s">
        <v>45</v>
      </c>
      <c r="E188">
        <v>46</v>
      </c>
      <c r="F188">
        <v>0</v>
      </c>
    </row>
    <row r="189" spans="1:6" x14ac:dyDescent="0.25">
      <c r="A189" t="s">
        <v>287</v>
      </c>
      <c r="B189" t="s">
        <v>26</v>
      </c>
      <c r="C189" t="s">
        <v>32</v>
      </c>
      <c r="D189" t="s">
        <v>45</v>
      </c>
      <c r="E189">
        <v>46</v>
      </c>
      <c r="F189">
        <v>0</v>
      </c>
    </row>
    <row r="190" spans="1:6" x14ac:dyDescent="0.25">
      <c r="A190" t="s">
        <v>287</v>
      </c>
      <c r="B190" t="s">
        <v>27</v>
      </c>
      <c r="C190" t="s">
        <v>33</v>
      </c>
      <c r="D190" t="s">
        <v>45</v>
      </c>
      <c r="E190">
        <v>46</v>
      </c>
      <c r="F190">
        <v>0</v>
      </c>
    </row>
    <row r="191" spans="1:6" x14ac:dyDescent="0.25">
      <c r="A191" t="s">
        <v>287</v>
      </c>
      <c r="B191" t="s">
        <v>21</v>
      </c>
      <c r="C191" t="s">
        <v>31</v>
      </c>
      <c r="D191" t="s">
        <v>45</v>
      </c>
      <c r="E191">
        <v>46</v>
      </c>
      <c r="F191">
        <v>0</v>
      </c>
    </row>
    <row r="192" spans="1:6" x14ac:dyDescent="0.25">
      <c r="A192" t="s">
        <v>287</v>
      </c>
      <c r="B192" t="s">
        <v>26</v>
      </c>
      <c r="C192" t="s">
        <v>32</v>
      </c>
      <c r="D192" t="s">
        <v>45</v>
      </c>
      <c r="E192">
        <v>46</v>
      </c>
      <c r="F192">
        <v>0</v>
      </c>
    </row>
    <row r="193" spans="1:6" x14ac:dyDescent="0.25">
      <c r="A193" t="s">
        <v>287</v>
      </c>
      <c r="B193" t="s">
        <v>27</v>
      </c>
      <c r="C193" t="s">
        <v>33</v>
      </c>
      <c r="D193" t="s">
        <v>45</v>
      </c>
      <c r="E193">
        <v>46</v>
      </c>
      <c r="F193">
        <v>0</v>
      </c>
    </row>
    <row r="194" spans="1:6" x14ac:dyDescent="0.25">
      <c r="A194" t="s">
        <v>287</v>
      </c>
      <c r="B194" t="s">
        <v>21</v>
      </c>
      <c r="C194" t="s">
        <v>31</v>
      </c>
      <c r="D194" t="s">
        <v>45</v>
      </c>
      <c r="E194">
        <v>46</v>
      </c>
      <c r="F194">
        <v>0</v>
      </c>
    </row>
    <row r="195" spans="1:6" x14ac:dyDescent="0.25">
      <c r="A195" t="s">
        <v>287</v>
      </c>
      <c r="B195" t="s">
        <v>26</v>
      </c>
      <c r="C195" t="s">
        <v>32</v>
      </c>
      <c r="D195" t="s">
        <v>45</v>
      </c>
      <c r="E195">
        <v>46</v>
      </c>
      <c r="F195">
        <v>0</v>
      </c>
    </row>
    <row r="196" spans="1:6" x14ac:dyDescent="0.25">
      <c r="A196" t="s">
        <v>287</v>
      </c>
      <c r="B196" t="s">
        <v>27</v>
      </c>
      <c r="C196" t="s">
        <v>33</v>
      </c>
      <c r="D196" t="s">
        <v>45</v>
      </c>
      <c r="E196">
        <v>46</v>
      </c>
      <c r="F196">
        <v>0</v>
      </c>
    </row>
    <row r="197" spans="1:6" x14ac:dyDescent="0.25">
      <c r="A197" t="s">
        <v>287</v>
      </c>
      <c r="B197" t="s">
        <v>21</v>
      </c>
      <c r="C197" t="s">
        <v>31</v>
      </c>
      <c r="D197" t="s">
        <v>46</v>
      </c>
      <c r="E197">
        <v>46</v>
      </c>
      <c r="F197">
        <v>0</v>
      </c>
    </row>
    <row r="198" spans="1:6" x14ac:dyDescent="0.25">
      <c r="A198" t="s">
        <v>287</v>
      </c>
      <c r="B198" t="s">
        <v>26</v>
      </c>
      <c r="C198" t="s">
        <v>32</v>
      </c>
      <c r="D198" t="s">
        <v>46</v>
      </c>
      <c r="E198">
        <v>46</v>
      </c>
      <c r="F198">
        <v>0</v>
      </c>
    </row>
    <row r="199" spans="1:6" x14ac:dyDescent="0.25">
      <c r="A199" t="s">
        <v>287</v>
      </c>
      <c r="B199" t="s">
        <v>27</v>
      </c>
      <c r="C199" t="s">
        <v>33</v>
      </c>
      <c r="D199" t="s">
        <v>46</v>
      </c>
      <c r="E199">
        <v>46</v>
      </c>
      <c r="F199">
        <v>0</v>
      </c>
    </row>
    <row r="200" spans="1:6" x14ac:dyDescent="0.25">
      <c r="A200" t="s">
        <v>287</v>
      </c>
      <c r="B200" t="s">
        <v>21</v>
      </c>
      <c r="C200" t="s">
        <v>31</v>
      </c>
      <c r="D200" t="s">
        <v>46</v>
      </c>
      <c r="E200">
        <v>46</v>
      </c>
      <c r="F200">
        <v>0</v>
      </c>
    </row>
    <row r="201" spans="1:6" x14ac:dyDescent="0.25">
      <c r="A201" t="s">
        <v>287</v>
      </c>
      <c r="B201" t="s">
        <v>26</v>
      </c>
      <c r="C201" t="s">
        <v>32</v>
      </c>
      <c r="D201" t="s">
        <v>46</v>
      </c>
      <c r="E201">
        <v>46</v>
      </c>
      <c r="F201">
        <v>0</v>
      </c>
    </row>
    <row r="202" spans="1:6" x14ac:dyDescent="0.25">
      <c r="A202" t="s">
        <v>287</v>
      </c>
      <c r="B202" t="s">
        <v>27</v>
      </c>
      <c r="C202" t="s">
        <v>33</v>
      </c>
      <c r="D202" t="s">
        <v>46</v>
      </c>
      <c r="E202">
        <v>46</v>
      </c>
      <c r="F202">
        <v>0</v>
      </c>
    </row>
    <row r="203" spans="1:6" x14ac:dyDescent="0.25">
      <c r="A203" t="s">
        <v>287</v>
      </c>
      <c r="B203" t="s">
        <v>21</v>
      </c>
      <c r="C203" t="s">
        <v>31</v>
      </c>
      <c r="D203" t="s">
        <v>46</v>
      </c>
      <c r="E203">
        <v>46</v>
      </c>
      <c r="F203">
        <v>0</v>
      </c>
    </row>
    <row r="204" spans="1:6" x14ac:dyDescent="0.25">
      <c r="A204" t="s">
        <v>287</v>
      </c>
      <c r="B204" t="s">
        <v>26</v>
      </c>
      <c r="C204" t="s">
        <v>32</v>
      </c>
      <c r="D204" t="s">
        <v>46</v>
      </c>
      <c r="E204">
        <v>46</v>
      </c>
      <c r="F204">
        <v>0</v>
      </c>
    </row>
    <row r="205" spans="1:6" x14ac:dyDescent="0.25">
      <c r="A205" t="s">
        <v>287</v>
      </c>
      <c r="B205" t="s">
        <v>27</v>
      </c>
      <c r="C205" t="s">
        <v>33</v>
      </c>
      <c r="D205" t="s">
        <v>46</v>
      </c>
      <c r="E205">
        <v>46</v>
      </c>
      <c r="F205">
        <v>0</v>
      </c>
    </row>
    <row r="206" spans="1:6" x14ac:dyDescent="0.25">
      <c r="A206" t="s">
        <v>287</v>
      </c>
      <c r="B206" t="s">
        <v>21</v>
      </c>
      <c r="C206" t="s">
        <v>31</v>
      </c>
      <c r="D206" t="s">
        <v>44</v>
      </c>
      <c r="E206">
        <v>46</v>
      </c>
      <c r="F206">
        <v>0</v>
      </c>
    </row>
    <row r="207" spans="1:6" x14ac:dyDescent="0.25">
      <c r="A207" t="s">
        <v>287</v>
      </c>
      <c r="B207" t="s">
        <v>26</v>
      </c>
      <c r="C207" t="s">
        <v>32</v>
      </c>
      <c r="D207" t="s">
        <v>44</v>
      </c>
      <c r="E207">
        <v>46</v>
      </c>
      <c r="F207">
        <v>0</v>
      </c>
    </row>
    <row r="208" spans="1:6" x14ac:dyDescent="0.25">
      <c r="A208" t="s">
        <v>287</v>
      </c>
      <c r="B208" t="s">
        <v>27</v>
      </c>
      <c r="C208" t="s">
        <v>33</v>
      </c>
      <c r="D208" t="s">
        <v>44</v>
      </c>
      <c r="E208">
        <v>46</v>
      </c>
      <c r="F208">
        <v>0</v>
      </c>
    </row>
    <row r="209" spans="1:6" x14ac:dyDescent="0.25">
      <c r="A209" t="s">
        <v>287</v>
      </c>
      <c r="B209" t="s">
        <v>21</v>
      </c>
      <c r="C209" t="s">
        <v>31</v>
      </c>
      <c r="D209" t="s">
        <v>44</v>
      </c>
      <c r="E209">
        <v>46</v>
      </c>
      <c r="F209">
        <v>0</v>
      </c>
    </row>
    <row r="210" spans="1:6" x14ac:dyDescent="0.25">
      <c r="A210" t="s">
        <v>287</v>
      </c>
      <c r="B210" t="s">
        <v>26</v>
      </c>
      <c r="C210" t="s">
        <v>32</v>
      </c>
      <c r="D210" t="s">
        <v>44</v>
      </c>
      <c r="E210">
        <v>46</v>
      </c>
      <c r="F210">
        <v>0</v>
      </c>
    </row>
    <row r="211" spans="1:6" x14ac:dyDescent="0.25">
      <c r="A211" t="s">
        <v>287</v>
      </c>
      <c r="B211" t="s">
        <v>27</v>
      </c>
      <c r="C211" t="s">
        <v>33</v>
      </c>
      <c r="D211" t="s">
        <v>44</v>
      </c>
      <c r="E211">
        <v>46</v>
      </c>
      <c r="F211">
        <v>0</v>
      </c>
    </row>
    <row r="212" spans="1:6" x14ac:dyDescent="0.25">
      <c r="A212" t="s">
        <v>287</v>
      </c>
      <c r="B212" t="s">
        <v>21</v>
      </c>
      <c r="C212" t="s">
        <v>31</v>
      </c>
      <c r="D212" t="s">
        <v>44</v>
      </c>
      <c r="E212">
        <v>46</v>
      </c>
      <c r="F212">
        <v>0</v>
      </c>
    </row>
    <row r="213" spans="1:6" x14ac:dyDescent="0.25">
      <c r="A213" t="s">
        <v>287</v>
      </c>
      <c r="B213" t="s">
        <v>26</v>
      </c>
      <c r="C213" t="s">
        <v>32</v>
      </c>
      <c r="D213" t="s">
        <v>44</v>
      </c>
      <c r="E213">
        <v>46</v>
      </c>
      <c r="F213">
        <v>0</v>
      </c>
    </row>
    <row r="214" spans="1:6" x14ac:dyDescent="0.25">
      <c r="A214" t="s">
        <v>287</v>
      </c>
      <c r="B214" t="s">
        <v>27</v>
      </c>
      <c r="C214" t="s">
        <v>33</v>
      </c>
      <c r="D214" t="s">
        <v>44</v>
      </c>
      <c r="E214">
        <v>46</v>
      </c>
      <c r="F214">
        <v>0</v>
      </c>
    </row>
    <row r="215" spans="1:6" x14ac:dyDescent="0.25">
      <c r="A215" t="s">
        <v>287</v>
      </c>
      <c r="B215" t="s">
        <v>21</v>
      </c>
      <c r="C215" t="s">
        <v>31</v>
      </c>
      <c r="D215" t="s">
        <v>45</v>
      </c>
      <c r="E215">
        <v>46</v>
      </c>
      <c r="F215">
        <v>0</v>
      </c>
    </row>
    <row r="216" spans="1:6" x14ac:dyDescent="0.25">
      <c r="A216" t="s">
        <v>287</v>
      </c>
      <c r="B216" t="s">
        <v>26</v>
      </c>
      <c r="C216" t="s">
        <v>32</v>
      </c>
      <c r="D216" t="s">
        <v>45</v>
      </c>
      <c r="E216">
        <v>46</v>
      </c>
      <c r="F216">
        <v>0</v>
      </c>
    </row>
    <row r="217" spans="1:6" x14ac:dyDescent="0.25">
      <c r="A217" t="s">
        <v>287</v>
      </c>
      <c r="B217" t="s">
        <v>27</v>
      </c>
      <c r="C217" t="s">
        <v>33</v>
      </c>
      <c r="D217" t="s">
        <v>45</v>
      </c>
      <c r="E217">
        <v>46</v>
      </c>
      <c r="F217">
        <v>0</v>
      </c>
    </row>
    <row r="218" spans="1:6" x14ac:dyDescent="0.25">
      <c r="A218" t="s">
        <v>287</v>
      </c>
      <c r="B218" t="s">
        <v>21</v>
      </c>
      <c r="C218" t="s">
        <v>31</v>
      </c>
      <c r="D218" t="s">
        <v>45</v>
      </c>
      <c r="E218">
        <v>46</v>
      </c>
      <c r="F218">
        <v>0</v>
      </c>
    </row>
    <row r="219" spans="1:6" x14ac:dyDescent="0.25">
      <c r="A219" t="s">
        <v>287</v>
      </c>
      <c r="B219" t="s">
        <v>26</v>
      </c>
      <c r="C219" t="s">
        <v>32</v>
      </c>
      <c r="D219" t="s">
        <v>45</v>
      </c>
      <c r="E219">
        <v>46</v>
      </c>
      <c r="F219">
        <v>0</v>
      </c>
    </row>
    <row r="220" spans="1:6" x14ac:dyDescent="0.25">
      <c r="A220" t="s">
        <v>287</v>
      </c>
      <c r="B220" t="s">
        <v>27</v>
      </c>
      <c r="C220" t="s">
        <v>33</v>
      </c>
      <c r="D220" t="s">
        <v>45</v>
      </c>
      <c r="E220">
        <v>46</v>
      </c>
      <c r="F220">
        <v>0</v>
      </c>
    </row>
    <row r="221" spans="1:6" x14ac:dyDescent="0.25">
      <c r="A221" t="s">
        <v>287</v>
      </c>
      <c r="B221" t="s">
        <v>21</v>
      </c>
      <c r="C221" t="s">
        <v>31</v>
      </c>
      <c r="D221" t="s">
        <v>45</v>
      </c>
      <c r="E221">
        <v>46</v>
      </c>
      <c r="F221">
        <v>0</v>
      </c>
    </row>
    <row r="222" spans="1:6" x14ac:dyDescent="0.25">
      <c r="A222" t="s">
        <v>287</v>
      </c>
      <c r="B222" t="s">
        <v>26</v>
      </c>
      <c r="C222" t="s">
        <v>32</v>
      </c>
      <c r="D222" t="s">
        <v>45</v>
      </c>
      <c r="E222">
        <v>46</v>
      </c>
      <c r="F222">
        <v>0</v>
      </c>
    </row>
    <row r="223" spans="1:6" x14ac:dyDescent="0.25">
      <c r="A223" t="s">
        <v>287</v>
      </c>
      <c r="B223" t="s">
        <v>27</v>
      </c>
      <c r="C223" t="s">
        <v>33</v>
      </c>
      <c r="D223" t="s">
        <v>45</v>
      </c>
      <c r="E223">
        <v>46</v>
      </c>
      <c r="F223">
        <v>0</v>
      </c>
    </row>
    <row r="224" spans="1:6" x14ac:dyDescent="0.25">
      <c r="A224" t="s">
        <v>287</v>
      </c>
      <c r="B224" t="s">
        <v>21</v>
      </c>
      <c r="C224" t="s">
        <v>31</v>
      </c>
      <c r="D224" t="s">
        <v>46</v>
      </c>
      <c r="E224">
        <v>46</v>
      </c>
      <c r="F224">
        <v>0</v>
      </c>
    </row>
    <row r="225" spans="1:6" x14ac:dyDescent="0.25">
      <c r="A225" t="s">
        <v>287</v>
      </c>
      <c r="B225" t="s">
        <v>26</v>
      </c>
      <c r="C225" t="s">
        <v>32</v>
      </c>
      <c r="D225" t="s">
        <v>46</v>
      </c>
      <c r="E225">
        <v>46</v>
      </c>
      <c r="F225">
        <v>0</v>
      </c>
    </row>
    <row r="226" spans="1:6" x14ac:dyDescent="0.25">
      <c r="A226" t="s">
        <v>287</v>
      </c>
      <c r="B226" t="s">
        <v>27</v>
      </c>
      <c r="C226" t="s">
        <v>33</v>
      </c>
      <c r="D226" t="s">
        <v>46</v>
      </c>
      <c r="E226">
        <v>46</v>
      </c>
      <c r="F226">
        <v>0</v>
      </c>
    </row>
    <row r="227" spans="1:6" x14ac:dyDescent="0.25">
      <c r="A227" t="s">
        <v>287</v>
      </c>
      <c r="B227" t="s">
        <v>21</v>
      </c>
      <c r="C227" t="s">
        <v>31</v>
      </c>
      <c r="D227" t="s">
        <v>46</v>
      </c>
      <c r="E227">
        <v>46</v>
      </c>
      <c r="F227">
        <v>0</v>
      </c>
    </row>
    <row r="228" spans="1:6" x14ac:dyDescent="0.25">
      <c r="A228" t="s">
        <v>287</v>
      </c>
      <c r="B228" t="s">
        <v>26</v>
      </c>
      <c r="C228" t="s">
        <v>32</v>
      </c>
      <c r="D228" t="s">
        <v>46</v>
      </c>
      <c r="E228">
        <v>46</v>
      </c>
      <c r="F228">
        <v>0</v>
      </c>
    </row>
    <row r="229" spans="1:6" x14ac:dyDescent="0.25">
      <c r="A229" t="s">
        <v>287</v>
      </c>
      <c r="B229" t="s">
        <v>27</v>
      </c>
      <c r="C229" t="s">
        <v>33</v>
      </c>
      <c r="D229" t="s">
        <v>46</v>
      </c>
      <c r="E229">
        <v>46</v>
      </c>
      <c r="F229">
        <v>0</v>
      </c>
    </row>
    <row r="230" spans="1:6" x14ac:dyDescent="0.25">
      <c r="A230" t="s">
        <v>287</v>
      </c>
      <c r="B230" t="s">
        <v>21</v>
      </c>
      <c r="C230" t="s">
        <v>31</v>
      </c>
      <c r="D230" t="s">
        <v>46</v>
      </c>
      <c r="E230">
        <v>46</v>
      </c>
      <c r="F230">
        <v>0</v>
      </c>
    </row>
    <row r="231" spans="1:6" x14ac:dyDescent="0.25">
      <c r="A231" t="s">
        <v>287</v>
      </c>
      <c r="B231" t="s">
        <v>26</v>
      </c>
      <c r="C231" t="s">
        <v>32</v>
      </c>
      <c r="D231" t="s">
        <v>46</v>
      </c>
      <c r="E231">
        <v>46</v>
      </c>
      <c r="F231">
        <v>0</v>
      </c>
    </row>
    <row r="232" spans="1:6" x14ac:dyDescent="0.25">
      <c r="A232" t="s">
        <v>287</v>
      </c>
      <c r="B232" t="s">
        <v>27</v>
      </c>
      <c r="C232" t="s">
        <v>33</v>
      </c>
      <c r="D232" t="s">
        <v>46</v>
      </c>
      <c r="E232">
        <v>46</v>
      </c>
      <c r="F232">
        <v>0</v>
      </c>
    </row>
    <row r="233" spans="1:6" x14ac:dyDescent="0.25">
      <c r="A233" t="s">
        <v>287</v>
      </c>
      <c r="B233" t="s">
        <v>21</v>
      </c>
      <c r="C233" t="s">
        <v>31</v>
      </c>
      <c r="D233" t="s">
        <v>44</v>
      </c>
      <c r="E233">
        <v>46</v>
      </c>
      <c r="F233">
        <v>0</v>
      </c>
    </row>
    <row r="234" spans="1:6" x14ac:dyDescent="0.25">
      <c r="A234" t="s">
        <v>287</v>
      </c>
      <c r="B234" t="s">
        <v>26</v>
      </c>
      <c r="C234" t="s">
        <v>32</v>
      </c>
      <c r="D234" t="s">
        <v>44</v>
      </c>
      <c r="E234">
        <v>46</v>
      </c>
      <c r="F234">
        <v>0</v>
      </c>
    </row>
    <row r="235" spans="1:6" x14ac:dyDescent="0.25">
      <c r="A235" t="s">
        <v>287</v>
      </c>
      <c r="B235" t="s">
        <v>27</v>
      </c>
      <c r="C235" t="s">
        <v>33</v>
      </c>
      <c r="D235" t="s">
        <v>44</v>
      </c>
      <c r="E235">
        <v>46</v>
      </c>
      <c r="F235">
        <v>0</v>
      </c>
    </row>
    <row r="236" spans="1:6" x14ac:dyDescent="0.25">
      <c r="A236" t="s">
        <v>287</v>
      </c>
      <c r="B236" t="s">
        <v>21</v>
      </c>
      <c r="C236" t="s">
        <v>31</v>
      </c>
      <c r="D236" t="s">
        <v>44</v>
      </c>
      <c r="E236">
        <v>46</v>
      </c>
      <c r="F236">
        <v>0</v>
      </c>
    </row>
    <row r="237" spans="1:6" x14ac:dyDescent="0.25">
      <c r="A237" t="s">
        <v>287</v>
      </c>
      <c r="B237" t="s">
        <v>26</v>
      </c>
      <c r="C237" t="s">
        <v>32</v>
      </c>
      <c r="D237" t="s">
        <v>44</v>
      </c>
      <c r="E237">
        <v>46</v>
      </c>
      <c r="F237">
        <v>0</v>
      </c>
    </row>
    <row r="238" spans="1:6" x14ac:dyDescent="0.25">
      <c r="A238" t="s">
        <v>287</v>
      </c>
      <c r="B238" t="s">
        <v>27</v>
      </c>
      <c r="C238" t="s">
        <v>33</v>
      </c>
      <c r="D238" t="s">
        <v>44</v>
      </c>
      <c r="E238">
        <v>46</v>
      </c>
      <c r="F238">
        <v>0</v>
      </c>
    </row>
    <row r="239" spans="1:6" x14ac:dyDescent="0.25">
      <c r="A239" t="s">
        <v>287</v>
      </c>
      <c r="B239" t="s">
        <v>21</v>
      </c>
      <c r="C239" t="s">
        <v>31</v>
      </c>
      <c r="D239" t="s">
        <v>44</v>
      </c>
      <c r="E239">
        <v>46</v>
      </c>
      <c r="F239">
        <v>0</v>
      </c>
    </row>
    <row r="240" spans="1:6" x14ac:dyDescent="0.25">
      <c r="A240" t="s">
        <v>287</v>
      </c>
      <c r="B240" t="s">
        <v>26</v>
      </c>
      <c r="C240" t="s">
        <v>32</v>
      </c>
      <c r="D240" t="s">
        <v>44</v>
      </c>
      <c r="E240">
        <v>46</v>
      </c>
      <c r="F240">
        <v>0</v>
      </c>
    </row>
    <row r="241" spans="1:6" x14ac:dyDescent="0.25">
      <c r="A241" t="s">
        <v>287</v>
      </c>
      <c r="B241" t="s">
        <v>27</v>
      </c>
      <c r="C241" t="s">
        <v>33</v>
      </c>
      <c r="D241" t="s">
        <v>44</v>
      </c>
      <c r="E241">
        <v>46</v>
      </c>
      <c r="F241">
        <v>0</v>
      </c>
    </row>
    <row r="242" spans="1:6" x14ac:dyDescent="0.25">
      <c r="A242" t="s">
        <v>287</v>
      </c>
      <c r="B242" t="s">
        <v>21</v>
      </c>
      <c r="C242" t="s">
        <v>31</v>
      </c>
      <c r="D242" t="s">
        <v>45</v>
      </c>
      <c r="E242">
        <v>46</v>
      </c>
      <c r="F242">
        <v>0</v>
      </c>
    </row>
    <row r="243" spans="1:6" x14ac:dyDescent="0.25">
      <c r="A243" t="s">
        <v>287</v>
      </c>
      <c r="B243" t="s">
        <v>26</v>
      </c>
      <c r="C243" t="s">
        <v>32</v>
      </c>
      <c r="D243" t="s">
        <v>45</v>
      </c>
      <c r="E243">
        <v>46</v>
      </c>
      <c r="F243">
        <v>0</v>
      </c>
    </row>
    <row r="244" spans="1:6" x14ac:dyDescent="0.25">
      <c r="A244" t="s">
        <v>287</v>
      </c>
      <c r="B244" t="s">
        <v>27</v>
      </c>
      <c r="C244" t="s">
        <v>33</v>
      </c>
      <c r="D244" t="s">
        <v>45</v>
      </c>
      <c r="E244">
        <v>46</v>
      </c>
      <c r="F244">
        <v>0</v>
      </c>
    </row>
    <row r="245" spans="1:6" x14ac:dyDescent="0.25">
      <c r="A245" t="s">
        <v>287</v>
      </c>
      <c r="B245" t="s">
        <v>21</v>
      </c>
      <c r="C245" t="s">
        <v>31</v>
      </c>
      <c r="D245" t="s">
        <v>45</v>
      </c>
      <c r="E245">
        <v>46</v>
      </c>
      <c r="F245">
        <v>0</v>
      </c>
    </row>
    <row r="246" spans="1:6" x14ac:dyDescent="0.25">
      <c r="A246" t="s">
        <v>287</v>
      </c>
      <c r="B246" t="s">
        <v>26</v>
      </c>
      <c r="C246" t="s">
        <v>32</v>
      </c>
      <c r="D246" t="s">
        <v>45</v>
      </c>
      <c r="E246">
        <v>46</v>
      </c>
      <c r="F246">
        <v>0</v>
      </c>
    </row>
    <row r="247" spans="1:6" x14ac:dyDescent="0.25">
      <c r="A247" t="s">
        <v>287</v>
      </c>
      <c r="B247" t="s">
        <v>27</v>
      </c>
      <c r="C247" t="s">
        <v>33</v>
      </c>
      <c r="D247" t="s">
        <v>45</v>
      </c>
      <c r="E247">
        <v>46</v>
      </c>
      <c r="F247">
        <v>0</v>
      </c>
    </row>
    <row r="248" spans="1:6" x14ac:dyDescent="0.25">
      <c r="A248" t="s">
        <v>287</v>
      </c>
      <c r="B248" t="s">
        <v>21</v>
      </c>
      <c r="C248" t="s">
        <v>31</v>
      </c>
      <c r="D248" t="s">
        <v>45</v>
      </c>
      <c r="E248">
        <v>46</v>
      </c>
      <c r="F248">
        <v>0</v>
      </c>
    </row>
    <row r="249" spans="1:6" x14ac:dyDescent="0.25">
      <c r="A249" t="s">
        <v>287</v>
      </c>
      <c r="B249" t="s">
        <v>26</v>
      </c>
      <c r="C249" t="s">
        <v>32</v>
      </c>
      <c r="D249" t="s">
        <v>45</v>
      </c>
      <c r="E249">
        <v>46</v>
      </c>
      <c r="F249">
        <v>0</v>
      </c>
    </row>
    <row r="250" spans="1:6" x14ac:dyDescent="0.25">
      <c r="A250" t="s">
        <v>287</v>
      </c>
      <c r="B250" t="s">
        <v>27</v>
      </c>
      <c r="C250" t="s">
        <v>33</v>
      </c>
      <c r="D250" t="s">
        <v>45</v>
      </c>
      <c r="E250">
        <v>46</v>
      </c>
      <c r="F250">
        <v>0</v>
      </c>
    </row>
    <row r="251" spans="1:6" x14ac:dyDescent="0.25">
      <c r="A251" t="s">
        <v>287</v>
      </c>
      <c r="B251" t="s">
        <v>21</v>
      </c>
      <c r="C251" t="s">
        <v>31</v>
      </c>
      <c r="D251" t="s">
        <v>46</v>
      </c>
      <c r="E251">
        <v>46</v>
      </c>
      <c r="F251">
        <v>0</v>
      </c>
    </row>
    <row r="252" spans="1:6" x14ac:dyDescent="0.25">
      <c r="A252" t="s">
        <v>287</v>
      </c>
      <c r="B252" t="s">
        <v>26</v>
      </c>
      <c r="C252" t="s">
        <v>32</v>
      </c>
      <c r="D252" t="s">
        <v>46</v>
      </c>
      <c r="E252">
        <v>46</v>
      </c>
      <c r="F252">
        <v>0</v>
      </c>
    </row>
    <row r="253" spans="1:6" x14ac:dyDescent="0.25">
      <c r="A253" t="s">
        <v>287</v>
      </c>
      <c r="B253" t="s">
        <v>27</v>
      </c>
      <c r="C253" t="s">
        <v>33</v>
      </c>
      <c r="D253" t="s">
        <v>46</v>
      </c>
      <c r="E253">
        <v>46</v>
      </c>
      <c r="F253">
        <v>0</v>
      </c>
    </row>
    <row r="254" spans="1:6" x14ac:dyDescent="0.25">
      <c r="A254" t="s">
        <v>287</v>
      </c>
      <c r="B254" t="s">
        <v>21</v>
      </c>
      <c r="C254" t="s">
        <v>31</v>
      </c>
      <c r="D254" t="s">
        <v>46</v>
      </c>
      <c r="E254">
        <v>46</v>
      </c>
      <c r="F254">
        <v>0</v>
      </c>
    </row>
    <row r="255" spans="1:6" x14ac:dyDescent="0.25">
      <c r="A255" t="s">
        <v>287</v>
      </c>
      <c r="B255" t="s">
        <v>26</v>
      </c>
      <c r="C255" t="s">
        <v>32</v>
      </c>
      <c r="D255" t="s">
        <v>46</v>
      </c>
      <c r="E255">
        <v>46</v>
      </c>
      <c r="F255">
        <v>0</v>
      </c>
    </row>
    <row r="256" spans="1:6" x14ac:dyDescent="0.25">
      <c r="A256" t="s">
        <v>287</v>
      </c>
      <c r="B256" t="s">
        <v>27</v>
      </c>
      <c r="C256" t="s">
        <v>33</v>
      </c>
      <c r="D256" t="s">
        <v>46</v>
      </c>
      <c r="E256">
        <v>46</v>
      </c>
      <c r="F256">
        <v>0</v>
      </c>
    </row>
    <row r="257" spans="1:6" x14ac:dyDescent="0.25">
      <c r="A257" t="s">
        <v>287</v>
      </c>
      <c r="B257" t="s">
        <v>21</v>
      </c>
      <c r="C257" t="s">
        <v>31</v>
      </c>
      <c r="D257" t="s">
        <v>46</v>
      </c>
      <c r="E257">
        <v>46</v>
      </c>
      <c r="F257">
        <v>0</v>
      </c>
    </row>
    <row r="258" spans="1:6" x14ac:dyDescent="0.25">
      <c r="A258" t="s">
        <v>287</v>
      </c>
      <c r="B258" t="s">
        <v>26</v>
      </c>
      <c r="C258" t="s">
        <v>32</v>
      </c>
      <c r="D258" t="s">
        <v>46</v>
      </c>
      <c r="E258">
        <v>46</v>
      </c>
      <c r="F258">
        <v>0</v>
      </c>
    </row>
    <row r="259" spans="1:6" x14ac:dyDescent="0.25">
      <c r="A259" t="s">
        <v>287</v>
      </c>
      <c r="B259" t="s">
        <v>27</v>
      </c>
      <c r="C259" t="s">
        <v>33</v>
      </c>
      <c r="D259" t="s">
        <v>46</v>
      </c>
      <c r="E259">
        <v>46</v>
      </c>
      <c r="F259">
        <v>0</v>
      </c>
    </row>
    <row r="261" spans="1:6" x14ac:dyDescent="0.25">
      <c r="A261" t="s">
        <v>85</v>
      </c>
    </row>
    <row r="262" spans="1:6" x14ac:dyDescent="0.25">
      <c r="A262" t="s">
        <v>290</v>
      </c>
      <c r="B262" t="s">
        <v>21</v>
      </c>
      <c r="C262" t="s">
        <v>31</v>
      </c>
      <c r="E262">
        <v>45</v>
      </c>
      <c r="F262">
        <v>0</v>
      </c>
    </row>
    <row r="263" spans="1:6" x14ac:dyDescent="0.25">
      <c r="A263" t="s">
        <v>290</v>
      </c>
      <c r="B263" t="s">
        <v>21</v>
      </c>
      <c r="C263" t="s">
        <v>31</v>
      </c>
      <c r="E263">
        <v>46</v>
      </c>
      <c r="F263">
        <v>0</v>
      </c>
    </row>
    <row r="264" spans="1:6" x14ac:dyDescent="0.25">
      <c r="A264" t="s">
        <v>290</v>
      </c>
      <c r="B264" t="s">
        <v>26</v>
      </c>
      <c r="C264" t="s">
        <v>32</v>
      </c>
      <c r="E264">
        <v>45</v>
      </c>
      <c r="F264">
        <v>0</v>
      </c>
    </row>
    <row r="265" spans="1:6" x14ac:dyDescent="0.25">
      <c r="A265" t="s">
        <v>290</v>
      </c>
      <c r="B265" t="s">
        <v>26</v>
      </c>
      <c r="C265" t="s">
        <v>32</v>
      </c>
      <c r="E265">
        <v>46</v>
      </c>
      <c r="F265">
        <v>0</v>
      </c>
    </row>
    <row r="266" spans="1:6" x14ac:dyDescent="0.25">
      <c r="A266" t="s">
        <v>290</v>
      </c>
      <c r="B266" t="s">
        <v>27</v>
      </c>
      <c r="C266" t="s">
        <v>33</v>
      </c>
      <c r="E266">
        <v>45</v>
      </c>
      <c r="F266">
        <v>0</v>
      </c>
    </row>
    <row r="267" spans="1:6" x14ac:dyDescent="0.25">
      <c r="A267" t="s">
        <v>290</v>
      </c>
      <c r="B267" t="s">
        <v>27</v>
      </c>
      <c r="C267" t="s">
        <v>33</v>
      </c>
      <c r="E267">
        <v>46</v>
      </c>
      <c r="F267">
        <v>0</v>
      </c>
    </row>
    <row r="268" spans="1:6" x14ac:dyDescent="0.25">
      <c r="A268" t="s">
        <v>290</v>
      </c>
      <c r="B268" t="s">
        <v>21</v>
      </c>
      <c r="C268" t="s">
        <v>31</v>
      </c>
      <c r="E268">
        <v>45</v>
      </c>
      <c r="F268">
        <v>0</v>
      </c>
    </row>
    <row r="269" spans="1:6" x14ac:dyDescent="0.25">
      <c r="A269" t="s">
        <v>290</v>
      </c>
      <c r="B269" t="s">
        <v>21</v>
      </c>
      <c r="C269" t="s">
        <v>31</v>
      </c>
      <c r="E269">
        <v>46</v>
      </c>
      <c r="F269">
        <v>0</v>
      </c>
    </row>
    <row r="270" spans="1:6" x14ac:dyDescent="0.25">
      <c r="A270" t="s">
        <v>290</v>
      </c>
      <c r="B270" t="s">
        <v>26</v>
      </c>
      <c r="C270" t="s">
        <v>32</v>
      </c>
      <c r="E270">
        <v>45</v>
      </c>
      <c r="F270">
        <v>0</v>
      </c>
    </row>
    <row r="271" spans="1:6" x14ac:dyDescent="0.25">
      <c r="A271" t="s">
        <v>290</v>
      </c>
      <c r="B271" t="s">
        <v>26</v>
      </c>
      <c r="C271" t="s">
        <v>32</v>
      </c>
      <c r="E271">
        <v>46</v>
      </c>
      <c r="F271">
        <v>0</v>
      </c>
    </row>
    <row r="272" spans="1:6" x14ac:dyDescent="0.25">
      <c r="A272" t="s">
        <v>290</v>
      </c>
      <c r="B272" t="s">
        <v>27</v>
      </c>
      <c r="C272" t="s">
        <v>33</v>
      </c>
      <c r="E272">
        <v>45</v>
      </c>
      <c r="F272">
        <v>0</v>
      </c>
    </row>
    <row r="273" spans="1:6" x14ac:dyDescent="0.25">
      <c r="A273" t="s">
        <v>290</v>
      </c>
      <c r="B273" t="s">
        <v>27</v>
      </c>
      <c r="C273" t="s">
        <v>33</v>
      </c>
      <c r="E273">
        <v>46</v>
      </c>
      <c r="F273">
        <v>0</v>
      </c>
    </row>
    <row r="274" spans="1:6" x14ac:dyDescent="0.25">
      <c r="A274" t="s">
        <v>290</v>
      </c>
      <c r="B274" t="s">
        <v>21</v>
      </c>
      <c r="C274" t="s">
        <v>31</v>
      </c>
      <c r="E274">
        <v>45</v>
      </c>
      <c r="F274">
        <v>0</v>
      </c>
    </row>
    <row r="275" spans="1:6" x14ac:dyDescent="0.25">
      <c r="A275" t="s">
        <v>290</v>
      </c>
      <c r="B275" t="s">
        <v>21</v>
      </c>
      <c r="C275" t="s">
        <v>31</v>
      </c>
      <c r="E275">
        <v>46</v>
      </c>
      <c r="F275">
        <v>0</v>
      </c>
    </row>
    <row r="276" spans="1:6" x14ac:dyDescent="0.25">
      <c r="A276" t="s">
        <v>290</v>
      </c>
      <c r="B276" t="s">
        <v>26</v>
      </c>
      <c r="C276" t="s">
        <v>32</v>
      </c>
      <c r="E276">
        <v>45</v>
      </c>
      <c r="F276">
        <v>0</v>
      </c>
    </row>
    <row r="277" spans="1:6" x14ac:dyDescent="0.25">
      <c r="A277" t="s">
        <v>290</v>
      </c>
      <c r="B277" t="s">
        <v>26</v>
      </c>
      <c r="C277" t="s">
        <v>32</v>
      </c>
      <c r="E277">
        <v>46</v>
      </c>
      <c r="F277">
        <v>0</v>
      </c>
    </row>
    <row r="278" spans="1:6" x14ac:dyDescent="0.25">
      <c r="A278" t="s">
        <v>290</v>
      </c>
      <c r="B278" t="s">
        <v>27</v>
      </c>
      <c r="C278" t="s">
        <v>33</v>
      </c>
      <c r="E278">
        <v>45</v>
      </c>
      <c r="F278">
        <v>0</v>
      </c>
    </row>
    <row r="279" spans="1:6" x14ac:dyDescent="0.25">
      <c r="A279" t="s">
        <v>290</v>
      </c>
      <c r="B279" t="s">
        <v>27</v>
      </c>
      <c r="C279" t="s">
        <v>33</v>
      </c>
      <c r="E279">
        <v>46</v>
      </c>
      <c r="F279">
        <v>0</v>
      </c>
    </row>
    <row r="281" spans="1:6" x14ac:dyDescent="0.25">
      <c r="A281" t="s">
        <v>93</v>
      </c>
    </row>
    <row r="282" spans="1:6" x14ac:dyDescent="0.25">
      <c r="A282" t="s">
        <v>292</v>
      </c>
      <c r="D282" t="s">
        <v>44</v>
      </c>
      <c r="F282">
        <v>0</v>
      </c>
    </row>
    <row r="283" spans="1:6" x14ac:dyDescent="0.25">
      <c r="A283" t="s">
        <v>292</v>
      </c>
      <c r="D283" t="s">
        <v>45</v>
      </c>
      <c r="F283">
        <v>0</v>
      </c>
    </row>
    <row r="284" spans="1:6" x14ac:dyDescent="0.25">
      <c r="A284" t="s">
        <v>292</v>
      </c>
      <c r="D284" t="s">
        <v>46</v>
      </c>
      <c r="F284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"/>
  <sheetViews>
    <sheetView tabSelected="1" workbookViewId="0">
      <selection activeCell="I2" sqref="I1:I1048576"/>
    </sheetView>
  </sheetViews>
  <sheetFormatPr defaultRowHeight="15" x14ac:dyDescent="0.25"/>
  <sheetData>
    <row r="1" spans="1:9" x14ac:dyDescent="0.25">
      <c r="A1" t="s">
        <v>326</v>
      </c>
      <c r="I1" t="s">
        <v>344</v>
      </c>
    </row>
    <row r="3" spans="1:9" x14ac:dyDescent="0.25">
      <c r="A3" t="s">
        <v>327</v>
      </c>
      <c r="B3" t="s">
        <v>328</v>
      </c>
      <c r="C3" t="s">
        <v>329</v>
      </c>
      <c r="D3" t="s">
        <v>330</v>
      </c>
    </row>
    <row r="4" spans="1:9" x14ac:dyDescent="0.25">
      <c r="A4" t="s">
        <v>331</v>
      </c>
      <c r="B4">
        <f>Flow_LHS</f>
        <v>0</v>
      </c>
      <c r="C4" t="s">
        <v>332</v>
      </c>
      <c r="D4">
        <f>Flow_RHS</f>
        <v>0</v>
      </c>
    </row>
    <row r="5" spans="1:9" x14ac:dyDescent="0.25">
      <c r="A5" t="s">
        <v>333</v>
      </c>
      <c r="B5" t="e">
        <f>Demand_LHS</f>
        <v>#VALUE!</v>
      </c>
      <c r="C5" t="s">
        <v>334</v>
      </c>
      <c r="D5" t="e">
        <f>Demand_RHS</f>
        <v>#VALUE!</v>
      </c>
    </row>
    <row r="6" spans="1:9" x14ac:dyDescent="0.25">
      <c r="A6" t="s">
        <v>335</v>
      </c>
      <c r="B6" t="e">
        <f>Capacity_LHS</f>
        <v>#VALUE!</v>
      </c>
      <c r="C6" t="s">
        <v>336</v>
      </c>
      <c r="D6" t="e">
        <f>Capacity_RHS</f>
        <v>#VALUE!</v>
      </c>
    </row>
    <row r="7" spans="1:9" x14ac:dyDescent="0.25">
      <c r="A7" t="s">
        <v>337</v>
      </c>
      <c r="B7">
        <f>Cameras_LHS</f>
        <v>0</v>
      </c>
      <c r="C7" t="s">
        <v>338</v>
      </c>
      <c r="D7">
        <f>Cameras_RHS</f>
        <v>455000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6"/>
  <sheetViews>
    <sheetView workbookViewId="0"/>
  </sheetViews>
  <sheetFormatPr defaultRowHeight="15" x14ac:dyDescent="0.25"/>
  <sheetData>
    <row r="1" spans="1:1" x14ac:dyDescent="0.25">
      <c r="A1" t="s">
        <v>339</v>
      </c>
    </row>
    <row r="3" spans="1:1" x14ac:dyDescent="0.25">
      <c r="A3" t="s">
        <v>340</v>
      </c>
    </row>
    <row r="4" spans="1:1" x14ac:dyDescent="0.25">
      <c r="A4" t="s">
        <v>341</v>
      </c>
    </row>
    <row r="5" spans="1:1" x14ac:dyDescent="0.25">
      <c r="A5" t="s">
        <v>342</v>
      </c>
    </row>
    <row r="6" spans="1:1" x14ac:dyDescent="0.25">
      <c r="A6" t="s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17</vt:i4>
      </vt:variant>
    </vt:vector>
  </HeadingPairs>
  <TitlesOfParts>
    <vt:vector size="31" baseType="lpstr">
      <vt:lpstr>Solver_ReadMe</vt:lpstr>
      <vt:lpstr>Parameters</vt:lpstr>
      <vt:lpstr>Demand</vt:lpstr>
      <vt:lpstr>Production_Costs</vt:lpstr>
      <vt:lpstr>Decisions</vt:lpstr>
      <vt:lpstr>Derived</vt:lpstr>
      <vt:lpstr>Constraints</vt:lpstr>
      <vt:lpstr>Objective</vt:lpstr>
      <vt:lpstr>Decisions_struct</vt:lpstr>
      <vt:lpstr>NamedRanges</vt:lpstr>
      <vt:lpstr>Constraints_flat</vt:lpstr>
      <vt:lpstr>MODEL_Run</vt:lpstr>
      <vt:lpstr>MODEL_Constraints</vt:lpstr>
      <vt:lpstr>README_OpenSolver</vt:lpstr>
      <vt:lpstr>All_Vars</vt:lpstr>
      <vt:lpstr>Cameras_LHS</vt:lpstr>
      <vt:lpstr>Cameras_RHS</vt:lpstr>
      <vt:lpstr>Capacity_LHS</vt:lpstr>
      <vt:lpstr>Capacity_RHS</vt:lpstr>
      <vt:lpstr>Demand_LHS</vt:lpstr>
      <vt:lpstr>Demand_RHS</vt:lpstr>
      <vt:lpstr>E_range</vt:lpstr>
      <vt:lpstr>Flow_LHS</vt:lpstr>
      <vt:lpstr>Flow_RHS</vt:lpstr>
      <vt:lpstr>S_range</vt:lpstr>
      <vt:lpstr>X_range</vt:lpstr>
      <vt:lpstr>X_range1</vt:lpstr>
      <vt:lpstr>XOT_range</vt:lpstr>
      <vt:lpstr>Y_range</vt:lpstr>
      <vt:lpstr>YPT_range</vt:lpstr>
      <vt:lpstr>Z_range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Delaney</dc:creator>
  <cp:lastModifiedBy>Hunter Mitchell Delaney</cp:lastModifiedBy>
  <dcterms:created xsi:type="dcterms:W3CDTF">2025-10-25T06:32:14Z</dcterms:created>
  <dcterms:modified xsi:type="dcterms:W3CDTF">2025-10-28T02:46:15Z</dcterms:modified>
</cp:coreProperties>
</file>